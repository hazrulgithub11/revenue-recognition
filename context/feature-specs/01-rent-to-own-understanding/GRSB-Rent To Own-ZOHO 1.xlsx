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3"/>
  </bookViews>
  <sheets>
    <sheet name="To request" sheetId="142" r:id="rId1"/>
    <sheet name="price list" sheetId="2" r:id="rId2"/>
    <sheet name="List of customer" sheetId="3" r:id="rId3"/>
    <sheet name="SO25-0001" sheetId="5" r:id="rId4"/>
    <sheet name="SO25-0006" sheetId="8" r:id="rId5"/>
    <sheet name="SO25-0135" sheetId="117" r:id="rId6"/>
    <sheet name="SO25-0138" sheetId="118" r:id="rId7"/>
    <sheet name="SO25-0172" sheetId="141" r:id="rId8"/>
  </sheets>
  <definedNames>
    <definedName name="_">#REF!</definedName>
    <definedName name="__" hidden="1">{#N/A,#N/A,FALSE,"BS";#N/A,#N/A,FALSE,"IS";#N/A,#N/A,FALSE,"sch 9";#N/A,#N/A,FALSE,"CF";#N/A,#N/A,FALSE,"cflow_Group";#N/A,#N/A,FALSE,"gain";#N/A,#N/A,FALSE,"SCIE"}</definedName>
    <definedName name="________________fgg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_ne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dec10">#REF!</definedName>
    <definedName name="____________ne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dec10">#REF!</definedName>
    <definedName name="___________ne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dec10">#REF!</definedName>
    <definedName name="__________ne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dec10">#REF!</definedName>
    <definedName name="_________ne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dec10">#REF!</definedName>
    <definedName name="________ne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dec10">#REF!</definedName>
    <definedName name="_______ne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_oct98">#REF!</definedName>
    <definedName name="______dec10">#REF!</definedName>
    <definedName name="______ne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_OCT334">#REF!</definedName>
    <definedName name="______oct98">#REF!</definedName>
    <definedName name="__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dec10">#REF!</definedName>
    <definedName name="_____FMC1">#REF!</definedName>
    <definedName name="_____H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ne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_OCT334">#REF!</definedName>
    <definedName name="_____oct98">#REF!</definedName>
    <definedName name="_____u4" hidden="1">{#N/A,#N/A,FALSE,"BS";#N/A,#N/A,FALSE,"IS";#N/A,#N/A,FALSE,"sch 9";#N/A,#N/A,FALSE,"CF";#N/A,#N/A,FALSE,"cflow_Group";#N/A,#N/A,FALSE,"gain";#N/A,#N/A,FALSE,"SCIE"}</definedName>
    <definedName name="____CA2" hidden="1">#REF!</definedName>
    <definedName name="____dec10">#REF!</definedName>
    <definedName name="____FMC1">#REF!</definedName>
    <definedName name="____ne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_OCT334">#REF!</definedName>
    <definedName name="____oct98">#REF!</definedName>
    <definedName name="____U4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abc2" hidden="1">#REF!</definedName>
    <definedName name="___AR1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CA2" hidden="1">#REF!</definedName>
    <definedName name="___DAT12">#REF!</definedName>
    <definedName name="___DAT8">#REF!</definedName>
    <definedName name="___DAT9">#REF!</definedName>
    <definedName name="___dec10">#REF!</definedName>
    <definedName name="___F1" hidden="1">#REF!</definedName>
    <definedName name="___fa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FMC1">#REF!</definedName>
    <definedName name="___H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H2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H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HJ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KA1" hidden="1">{#N/A,#N/A,FALSE,"Sheet1"}</definedName>
    <definedName name="___Key2" hidden="1">#REF!</definedName>
    <definedName name="___ne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_OCT334">#REF!</definedName>
    <definedName name="___oct98">#REF!</definedName>
    <definedName name="___u4" hidden="1">{#N/A,#N/A,FALSE,"BS";#N/A,#N/A,FALSE,"IS";#N/A,#N/A,FALSE,"sch 9";#N/A,#N/A,FALSE,"CF";#N/A,#N/A,FALSE,"cflow_Group";#N/A,#N/A,FALSE,"gain";#N/A,#N/A,FALSE,"SCIE"}</definedName>
    <definedName name="___U5" hidden="1">#REF!</definedName>
    <definedName name="___UB1" hidden="1">{"'Feb 99'!$A$1:$G$30"}</definedName>
    <definedName name="___UB2" hidden="1">{"'Feb 99'!$A$1:$G$30"}</definedName>
    <definedName name="__123Graph_A" hidden="1">#REF!</definedName>
    <definedName name="__123Graph_ACURRENT" hidden="1">#REF!</definedName>
    <definedName name="__123Graph_APIS" hidden="1">#REF!</definedName>
    <definedName name="__123Graph_B" hidden="1">#REF!</definedName>
    <definedName name="__123Graph_BCURRENT" hidden="1">#REF!</definedName>
    <definedName name="__123Graph_BPIS" hidden="1">#REF!</definedName>
    <definedName name="__123Graph_C" hidden="1">#REF!</definedName>
    <definedName name="__123Graph_CCURRENT" hidden="1">#REF!</definedName>
    <definedName name="__123Graph_CPIS" hidden="1">#REF!</definedName>
    <definedName name="__123Graph_D" hidden="1">#REF!</definedName>
    <definedName name="__123Graph_DCURRENT" hidden="1">#REF!</definedName>
    <definedName name="__123Graph_DPIS" hidden="1">#REF!</definedName>
    <definedName name="__123Graph_DSQM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X" hidden="1">#REF!</definedName>
    <definedName name="__123Graph_XCURRENT" hidden="1">#REF!</definedName>
    <definedName name="__123Graph_XPIS" hidden="1">#REF!</definedName>
    <definedName name="__A1" hidden="1">{#N/A,#N/A,FALSE,"Sheet1"}</definedName>
    <definedName name="__A2" hidden="1">{#N/A,#N/A,FALSE,"Sheet1"}</definedName>
    <definedName name="__A3" hidden="1">{#N/A,#N/A,FALSE,"Sheet1"}</definedName>
    <definedName name="__abc2" hidden="1">#REF!</definedName>
    <definedName name="__ACT1">#REF!</definedName>
    <definedName name="__ACT2">#REF!</definedName>
    <definedName name="__ADJ1">#REF!</definedName>
    <definedName name="__ADJ2">#REF!</definedName>
    <definedName name="__aje1">#REF!</definedName>
    <definedName name="__BIS22" hidden="1">#REF!</definedName>
    <definedName name="__c">#REF!</definedName>
    <definedName name="__CA1" hidden="1">#REF!</definedName>
    <definedName name="__CAP1">#REF!</definedName>
    <definedName name="__cap2">#REF!</definedName>
    <definedName name="__cap3">#REF!</definedName>
    <definedName name="__cap4">#REF!</definedName>
    <definedName name="__cap5">#REF!</definedName>
    <definedName name="__cog1">#REF!</definedName>
    <definedName name="__cog2">#REF!</definedName>
    <definedName name="__DAT1">#REF!</definedName>
    <definedName name="__DAT10">#REF!</definedName>
    <definedName name="__DAT1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ec10">#REF!</definedName>
    <definedName name="__E32">#REF!</definedName>
    <definedName name="__E5">#REF!</definedName>
    <definedName name="__eps2" hidden="1">{#N/A,#N/A,FALSE,"Aging Summary";#N/A,#N/A,FALSE,"Ratio Analysis";#N/A,#N/A,FALSE,"Test 120 Day Accts";#N/A,#N/A,FALSE,"Tickmarks"}</definedName>
    <definedName name="__F1" hidden="1">#REF!</definedName>
    <definedName name="__F2">#REF!</definedName>
    <definedName name="__FMC1">#REF!</definedName>
    <definedName name="__H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IntlFixup" hidden="1">TRUE</definedName>
    <definedName name="__JA2">#REF!</definedName>
    <definedName name="__KB1" hidden="1">{#N/A,#N/A,FALSE,"Sheet1"}</definedName>
    <definedName name="__Key2" hidden="1">#REF!</definedName>
    <definedName name="__lam1">#REF!</definedName>
    <definedName name="__lam2">#REF!</definedName>
    <definedName name="__Lam3">#REF!</definedName>
    <definedName name="__Lam4">#REF!</definedName>
    <definedName name="__Lam5">#REF!</definedName>
    <definedName name="__LD1">#N/A</definedName>
    <definedName name="__LD2">#N/A</definedName>
    <definedName name="__min1" hidden="1">{"'Feb 99'!$A$1:$G$30"}</definedName>
    <definedName name="__N4" hidden="1">{#N/A,#N/A,FALSE,"Sheet1"}</definedName>
    <definedName name="__NBL1">#REF!</definedName>
    <definedName name="__NBL2">#REF!</definedName>
    <definedName name="__ne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_o2">#REF!</definedName>
    <definedName name="__O3" hidden="1">{#N/A,#N/A,FALSE,"Sheet1"}</definedName>
    <definedName name="__O4" hidden="1">{#N/A,#N/A,FALSE,"Sheet1"}</definedName>
    <definedName name="__OCT334">#REF!</definedName>
    <definedName name="__oct98">#REF!</definedName>
    <definedName name="__ots1" hidden="1">{#VALUE!,#N/A,FALSE,0}</definedName>
    <definedName name="__PB2">#REF!</definedName>
    <definedName name="__Pbs1">#REF!</definedName>
    <definedName name="__Pbs2">#REF!</definedName>
    <definedName name="__PG2">#N/A</definedName>
    <definedName name="__PNL10">#REF!</definedName>
    <definedName name="__pnl20">#REF!</definedName>
    <definedName name="__pnl30">#REF!</definedName>
    <definedName name="__pnl40">#REF!</definedName>
    <definedName name="__SCH1">#REF!</definedName>
    <definedName name="__sch2">#REF!</definedName>
    <definedName name="__Sch308">#REF!</definedName>
    <definedName name="__sch4">#REF!</definedName>
    <definedName name="__T2" hidden="1">{#N/A,#N/A,FALSE,"Sheet1"}</definedName>
    <definedName name="__tai1">#REF!</definedName>
    <definedName name="__tai2">#REF!</definedName>
    <definedName name="__tee1">#REF!</definedName>
    <definedName name="__tww1">#REF!</definedName>
    <definedName name="__U3">#REF!</definedName>
    <definedName name="__u4" hidden="1">{#N/A,#N/A,FALSE,"BS";#N/A,#N/A,FALSE,"IS";#N/A,#N/A,FALSE,"sch 9";#N/A,#N/A,FALSE,"CF";#N/A,#N/A,FALSE,"cflow_Group";#N/A,#N/A,FALSE,"gain";#N/A,#N/A,FALSE,"SCIE"}</definedName>
    <definedName name="__U5">#REF!</definedName>
    <definedName name="__V3">#REF!</definedName>
    <definedName name="__W8">#REF!</definedName>
    <definedName name="__WA2">#REF!</definedName>
    <definedName name="__x2">#REF!</definedName>
    <definedName name="_00Bk_int">#REF!</definedName>
    <definedName name="_00BS">#REF!</definedName>
    <definedName name="_00CASHFW">#REF!</definedName>
    <definedName name="_00FA">#REF!</definedName>
    <definedName name="_00Itr_exp">#REF!</definedName>
    <definedName name="_00Itr_inc">#REF!</definedName>
    <definedName name="_00Itr_movt">#REF!</definedName>
    <definedName name="_00Itr_susp">#REF!</definedName>
    <definedName name="_00PL">#REF!</definedName>
    <definedName name="_00Sum">#REF!</definedName>
    <definedName name="_00SUMXP">#REF!</definedName>
    <definedName name="_01Bk_int">#REF!</definedName>
    <definedName name="_01BS">#REF!</definedName>
    <definedName name="_01CASHFW">#REF!</definedName>
    <definedName name="_01FA">#REF!</definedName>
    <definedName name="_01Int_susp">#REF!</definedName>
    <definedName name="_01Itr_exp">#REF!</definedName>
    <definedName name="_01itr_inc">#REF!</definedName>
    <definedName name="_01Itr_movt">#REF!</definedName>
    <definedName name="_01PL">#REF!</definedName>
    <definedName name="_01Sum">#REF!</definedName>
    <definedName name="_02Bk_int">#REF!</definedName>
    <definedName name="_02BS">#REF!</definedName>
    <definedName name="_02CASHFW">#REF!</definedName>
    <definedName name="_02FA">#REF!</definedName>
    <definedName name="_02Itr_exp">#REF!</definedName>
    <definedName name="_02Itr_inc">#REF!</definedName>
    <definedName name="_02Itr_movt">#REF!</definedName>
    <definedName name="_02Itr_susp">#REF!</definedName>
    <definedName name="_02PL">#REF!</definedName>
    <definedName name="_02SUMXP">#REF!</definedName>
    <definedName name="_03Bk_int">#REF!</definedName>
    <definedName name="_03BS">#REF!</definedName>
    <definedName name="_03CASHFW">#REF!</definedName>
    <definedName name="_03FA">#REF!</definedName>
    <definedName name="_03Itr_exp">#REF!</definedName>
    <definedName name="_03Itr_inc">#REF!</definedName>
    <definedName name="_03Itr_movt">#REF!</definedName>
    <definedName name="_03Itr_susp">#REF!</definedName>
    <definedName name="_03PL">#REF!</definedName>
    <definedName name="_03Sum">#REF!</definedName>
    <definedName name="_03SUMXP">#REF!</definedName>
    <definedName name="_04Bk_int">#REF!</definedName>
    <definedName name="_04BS">#REF!</definedName>
    <definedName name="_04Cashfw">#REF!</definedName>
    <definedName name="_04FA">#REF!</definedName>
    <definedName name="_04Itr_exp">#REF!</definedName>
    <definedName name="_04Itr_inc">#REF!</definedName>
    <definedName name="_04Itr_movt">#REF!</definedName>
    <definedName name="_04Itr_susp">#REF!</definedName>
    <definedName name="_04PL">#REF!</definedName>
    <definedName name="_04Sum">#REF!</definedName>
    <definedName name="_1__123Graph_ACHART_5" hidden="1">#REF!</definedName>
    <definedName name="_1__123Graph_ATEILM_RKTE" hidden="1">#REF!</definedName>
    <definedName name="_10__123Graph_ATEILM_RKTE" hidden="1">#REF!</definedName>
    <definedName name="_10__123Graph_ATEILM_RKTE2" hidden="1">#REF!</definedName>
    <definedName name="_10__123Graph_BCHART_5" hidden="1">#REF!</definedName>
    <definedName name="_10__123Graph_XCHART_5" hidden="1">#REF!</definedName>
    <definedName name="_101.00">#REF!</definedName>
    <definedName name="_101.01">#REF!</definedName>
    <definedName name="_104.00">#REF!</definedName>
    <definedName name="_11_0_0_F" hidden="1">#REF!</definedName>
    <definedName name="_111.XX">#REF!</definedName>
    <definedName name="_12_1">#REF!</definedName>
    <definedName name="_13_2">#REF!</definedName>
    <definedName name="_130.00">#REF!</definedName>
    <definedName name="_14C_P">#REF!</definedName>
    <definedName name="_15__123Graph_XCHART_5" hidden="1">#REF!</definedName>
    <definedName name="_15__123Graph_XTEILM_RKTE2" hidden="1">#REF!</definedName>
    <definedName name="_15C_R">#REF!</definedName>
    <definedName name="_16__123Graph_ATEILM_RKTE2" hidden="1">#REF!</definedName>
    <definedName name="_170.00">#REF!</definedName>
    <definedName name="_1B2">#REF!</definedName>
    <definedName name="_1E____ဠ0__큌〈Ř">#REF!</definedName>
    <definedName name="_2_">#REF!</definedName>
    <definedName name="_2__123Graph_ACHART_5" hidden="1">#REF!</definedName>
    <definedName name="_2__123Graph_ATEILM_RKTE2" hidden="1">#REF!</definedName>
    <definedName name="_2__123Graph_BCHART_5" hidden="1">#REF!</definedName>
    <definedName name="_20__123Graph_ATEILM_RKTE2" hidden="1">#REF!</definedName>
    <definedName name="_207.00">#REF!</definedName>
    <definedName name="_211.02">#REF!</definedName>
    <definedName name="_212.00">#REF!</definedName>
    <definedName name="_215.XX">#REF!</definedName>
    <definedName name="_216.00">#REF!</definedName>
    <definedName name="_217.00">#REF!</definedName>
    <definedName name="_220.00">#REF!</definedName>
    <definedName name="_223.00">#REF!</definedName>
    <definedName name="_224.00">#REF!</definedName>
    <definedName name="_24__123Graph_XTEILM_RKTE2" hidden="1">#REF!</definedName>
    <definedName name="_240.00">#REF!</definedName>
    <definedName name="_251.00">#REF!</definedName>
    <definedName name="_3__123Graph_ACHART_5" hidden="1">#REF!</definedName>
    <definedName name="_3__123Graph_ATEILM_RKTE" hidden="1">#REF!</definedName>
    <definedName name="_3__123Graph_XCHART_5" hidden="1">#REF!</definedName>
    <definedName name="_3__123Graph_XTEILM_RKTE2" hidden="1">#REF!</definedName>
    <definedName name="_30__123Graph_XTEILM_RKTE2" hidden="1">#REF!</definedName>
    <definedName name="_31.1.94">#REF!</definedName>
    <definedName name="_31.1.95">#REF!</definedName>
    <definedName name="_3RD_PM">#REF!</definedName>
    <definedName name="_3XX.XX">#REF!</definedName>
    <definedName name="_4__123Graph_AChart_6" hidden="1">#REF!</definedName>
    <definedName name="_4__123Graph_BCHART_5" hidden="1">#REF!</definedName>
    <definedName name="_5__123Graph_ACHART_5" hidden="1">#REF!</definedName>
    <definedName name="_5__123Graph_ATEILM_RKTE" hidden="1">#REF!</definedName>
    <definedName name="_6__123Graph_ACHART_5" hidden="1">#REF!</definedName>
    <definedName name="_6__123Graph_ATEILM_RKTE2" hidden="1">#REF!</definedName>
    <definedName name="_6__123Graph_XCHART_5" hidden="1">#REF!</definedName>
    <definedName name="_7__123Graph_BCHART_5" hidden="1">#REF!</definedName>
    <definedName name="_8__123Graph_ATEILM_RKTE" hidden="1">#REF!</definedName>
    <definedName name="_8__123Graph_XCHART_5" hidden="1">#REF!</definedName>
    <definedName name="_9__123Graph_XTEILM_RKTE2" hidden="1">#REF!</definedName>
    <definedName name="_93">#REF!</definedName>
    <definedName name="_94">#REF!</definedName>
    <definedName name="_95">#REF!</definedName>
    <definedName name="_96">#REF!</definedName>
    <definedName name="_97">#REF!</definedName>
    <definedName name="_98">#REF!</definedName>
    <definedName name="_99">#REF!</definedName>
    <definedName name="_a">#REF!</definedName>
    <definedName name="_a___0">#REF!</definedName>
    <definedName name="_a___12">#REF!</definedName>
    <definedName name="_a___5">#REF!</definedName>
    <definedName name="_A1" hidden="1">{#N/A,#N/A,FALSE,"Sheet1"}</definedName>
    <definedName name="_A2" hidden="1">{#N/A,#N/A,FALSE,"Sheet1"}</definedName>
    <definedName name="_a21420">#REF!</definedName>
    <definedName name="_a21430">#REF!</definedName>
    <definedName name="_A22">#REF!</definedName>
    <definedName name="_A222">#REF!</definedName>
    <definedName name="_a22220">#REF!</definedName>
    <definedName name="_a22241">#REF!</definedName>
    <definedName name="_a22242">#REF!</definedName>
    <definedName name="_a22260">#REF!</definedName>
    <definedName name="_a22270">#REF!</definedName>
    <definedName name="_a24385">#REF!</definedName>
    <definedName name="_a24391">#REF!</definedName>
    <definedName name="_a24392">#REF!</definedName>
    <definedName name="_a24393">#REF!</definedName>
    <definedName name="_a24394">#REF!</definedName>
    <definedName name="_a27120">#REF!</definedName>
    <definedName name="_a27150">#REF!</definedName>
    <definedName name="_A3" hidden="1">{#N/A,#N/A,FALSE,"Sheet1"}</definedName>
    <definedName name="_a32320">#REF!</definedName>
    <definedName name="_a32730">#REF!</definedName>
    <definedName name="_a33130">#REF!</definedName>
    <definedName name="_a33140">#REF!</definedName>
    <definedName name="_a33160">#REF!</definedName>
    <definedName name="_a33170">#REF!</definedName>
    <definedName name="_a33190">#REF!</definedName>
    <definedName name="_a33210">#REF!</definedName>
    <definedName name="_a33230">#REF!</definedName>
    <definedName name="_a33240">#REF!</definedName>
    <definedName name="_a34010">#REF!</definedName>
    <definedName name="_a41230">#REF!</definedName>
    <definedName name="_a41240">#REF!</definedName>
    <definedName name="_a42781">#REF!</definedName>
    <definedName name="_a42782">#REF!</definedName>
    <definedName name="_a42783">#REF!</definedName>
    <definedName name="_A43220">#REF!</definedName>
    <definedName name="_a43230">#REF!</definedName>
    <definedName name="_a43260">#REF!</definedName>
    <definedName name="_a43270">#REF!</definedName>
    <definedName name="_a43320">#REF!</definedName>
    <definedName name="_a43330">#REF!</definedName>
    <definedName name="_a43360">#REF!</definedName>
    <definedName name="_a43370">#REF!</definedName>
    <definedName name="_a43530">#REF!</definedName>
    <definedName name="_a43540">#REF!</definedName>
    <definedName name="_a43560">#REF!</definedName>
    <definedName name="_a43570">#REF!</definedName>
    <definedName name="_a43630">#REF!</definedName>
    <definedName name="_a43640">#REF!</definedName>
    <definedName name="_a43660">#REF!</definedName>
    <definedName name="_a43670">#REF!</definedName>
    <definedName name="_a43730">#REF!</definedName>
    <definedName name="_a43750">#REF!</definedName>
    <definedName name="_a43760">#REF!</definedName>
    <definedName name="_a43770">#REF!</definedName>
    <definedName name="_a43780">#REF!</definedName>
    <definedName name="_a48610">#REF!</definedName>
    <definedName name="_a48611">#REF!</definedName>
    <definedName name="_a48620">#REF!</definedName>
    <definedName name="_a48621">#REF!</definedName>
    <definedName name="_a48781">#REF!</definedName>
    <definedName name="_a48782">#REF!</definedName>
    <definedName name="_a48783">#REF!</definedName>
    <definedName name="_a48784">#REF!</definedName>
    <definedName name="_a51530">#REF!</definedName>
    <definedName name="_a51560">#REF!</definedName>
    <definedName name="_a51620">#REF!</definedName>
    <definedName name="_a52010">#REF!</definedName>
    <definedName name="_a53110">#REF!</definedName>
    <definedName name="_a61430">#REF!</definedName>
    <definedName name="_a61470">#REF!</definedName>
    <definedName name="_a61620">#REF!</definedName>
    <definedName name="_a63110">#REF!</definedName>
    <definedName name="_a73310">#REF!</definedName>
    <definedName name="_A8">#REF!</definedName>
    <definedName name="_a83175">#REF!</definedName>
    <definedName name="_a85160">#REF!</definedName>
    <definedName name="_a85250">#REF!</definedName>
    <definedName name="_a85510">#REF!</definedName>
    <definedName name="_a85520">#REF!</definedName>
    <definedName name="_a85530">#REF!</definedName>
    <definedName name="_a85540">#REF!</definedName>
    <definedName name="_a85550">#REF!</definedName>
    <definedName name="_a85570">#REF!</definedName>
    <definedName name="_a85580">#REF!</definedName>
    <definedName name="_a85590">#REF!</definedName>
    <definedName name="_a85611">#REF!</definedName>
    <definedName name="_a85621">#REF!</definedName>
    <definedName name="_a90300">#REF!</definedName>
    <definedName name="_a90400">#REF!</definedName>
    <definedName name="_a90510">#REF!</definedName>
    <definedName name="_a90520">#REF!</definedName>
    <definedName name="_a90530">#REF!</definedName>
    <definedName name="_a90540">#REF!</definedName>
    <definedName name="_a90610">#REF!</definedName>
    <definedName name="_a90620">#REF!</definedName>
    <definedName name="_a90630">#REF!</definedName>
    <definedName name="_a90640">#REF!</definedName>
    <definedName name="_a90710">#REF!</definedName>
    <definedName name="_a90720">#REF!</definedName>
    <definedName name="_a90730">#REF!</definedName>
    <definedName name="_a90740">#REF!</definedName>
    <definedName name="_a90810">#REF!</definedName>
    <definedName name="_a90820">#REF!</definedName>
    <definedName name="_a90830">#REF!</definedName>
    <definedName name="_a90840">#REF!</definedName>
    <definedName name="_a90910">#REF!</definedName>
    <definedName name="_a90920">#REF!</definedName>
    <definedName name="_a90930">#REF!</definedName>
    <definedName name="_a90940">#REF!</definedName>
    <definedName name="_a90950">#REF!</definedName>
    <definedName name="_a91310">#REF!</definedName>
    <definedName name="_a91320">#REF!</definedName>
    <definedName name="_a91330">#REF!</definedName>
    <definedName name="_a91340">#REF!</definedName>
    <definedName name="_a91350">#REF!</definedName>
    <definedName name="_a91710">#REF!</definedName>
    <definedName name="_a91720">#REF!</definedName>
    <definedName name="_a91730">#REF!</definedName>
    <definedName name="_a91740">#REF!</definedName>
    <definedName name="_a93100">#REF!</definedName>
    <definedName name="_a93200">#REF!</definedName>
    <definedName name="_a99340">#REF!</definedName>
    <definedName name="_a99350">#REF!</definedName>
    <definedName name="_AA1">#REF!</definedName>
    <definedName name="_abc2" hidden="1">#REF!</definedName>
    <definedName name="_ACT1">#REF!</definedName>
    <definedName name="_ACT2">#REF!</definedName>
    <definedName name="_ACT3">#REF!</definedName>
    <definedName name="_ADJ1">#REF!</definedName>
    <definedName name="_ADJ2">#REF!</definedName>
    <definedName name="_aje1">#REF!</definedName>
    <definedName name="_APP1">#REF!</definedName>
    <definedName name="_APP2">#REF!</definedName>
    <definedName name="_APP3">#REF!</definedName>
    <definedName name="_APP4">#REF!</definedName>
    <definedName name="_APP5">#REF!</definedName>
    <definedName name="_APP6">#REF!</definedName>
    <definedName name="_AR1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arf2001">#REF!</definedName>
    <definedName name="_b90710">#REF!</definedName>
    <definedName name="_b90720">#REF!</definedName>
    <definedName name="_b90730">#REF!</definedName>
    <definedName name="_b90740">#REF!</definedName>
    <definedName name="_b95310">#REF!</definedName>
    <definedName name="_b95320">#REF!</definedName>
    <definedName name="_b95330">#REF!</definedName>
    <definedName name="_b95340">#REF!</definedName>
    <definedName name="_BA1">#REF!</definedName>
    <definedName name="_BC1">#REF!</definedName>
    <definedName name="_BIS22" hidden="1">#REF!</definedName>
    <definedName name="_c">#REF!</definedName>
    <definedName name="_c___0">#REF!</definedName>
    <definedName name="_c___12">#REF!</definedName>
    <definedName name="_c___14">#REF!</definedName>
    <definedName name="_c___3">#REF!</definedName>
    <definedName name="_c___5">#REF!</definedName>
    <definedName name="_c___6">#REF!</definedName>
    <definedName name="_c___8">#REF!</definedName>
    <definedName name="_CA1" hidden="1">#REF!</definedName>
    <definedName name="_CA2">#REF!</definedName>
    <definedName name="_CA3">#REF!</definedName>
    <definedName name="_CAP1">#REF!</definedName>
    <definedName name="_cap2">#REF!</definedName>
    <definedName name="_cap3">#REF!</definedName>
    <definedName name="_cap4">#REF!</definedName>
    <definedName name="_cap5">#REF!</definedName>
    <definedName name="_CCF1">#REF!</definedName>
    <definedName name="_CCF10">#REF!</definedName>
    <definedName name="_CCF11">#REF!</definedName>
    <definedName name="_CCF12">#REF!</definedName>
    <definedName name="_CCF13">#REF!</definedName>
    <definedName name="_CCF14">#REF!</definedName>
    <definedName name="_CCF15">#REF!</definedName>
    <definedName name="_CCF16">#REF!</definedName>
    <definedName name="_CCF17">#REF!</definedName>
    <definedName name="_CCF18">#REF!</definedName>
    <definedName name="_CCF19">#REF!</definedName>
    <definedName name="_CCF2">#REF!</definedName>
    <definedName name="_CCF20">#REF!</definedName>
    <definedName name="_CCF21">#REF!</definedName>
    <definedName name="_CCF22">#REF!</definedName>
    <definedName name="_CCF23">#REF!</definedName>
    <definedName name="_CCF24">#REF!</definedName>
    <definedName name="_CCF25">#REF!</definedName>
    <definedName name="_CCF26">#REF!</definedName>
    <definedName name="_CCF27">#REF!</definedName>
    <definedName name="_CCF28">#REF!</definedName>
    <definedName name="_CCF29">#REF!</definedName>
    <definedName name="_CCF3">#REF!</definedName>
    <definedName name="_CCF30">#REF!</definedName>
    <definedName name="_CCF31">#REF!</definedName>
    <definedName name="_CCF32">#REF!</definedName>
    <definedName name="_CCF33">#REF!</definedName>
    <definedName name="_CCF34">#REF!</definedName>
    <definedName name="_CCF35">#REF!</definedName>
    <definedName name="_CCF36">#REF!</definedName>
    <definedName name="_CCF37">#REF!</definedName>
    <definedName name="_CCF38">#REF!</definedName>
    <definedName name="_CCF39">#REF!</definedName>
    <definedName name="_CCF4">#REF!</definedName>
    <definedName name="_CCF5">#REF!</definedName>
    <definedName name="_CCF6">#REF!</definedName>
    <definedName name="_CCF7">#REF!</definedName>
    <definedName name="_CCF8">#REF!</definedName>
    <definedName name="_CCF9">#REF!</definedName>
    <definedName name="_cf2">#REF!</definedName>
    <definedName name="_cf3">#REF!</definedName>
    <definedName name="_CM1">#REF!</definedName>
    <definedName name="_cog1">#REF!</definedName>
    <definedName name="_cog2">#REF!</definedName>
    <definedName name="_COH1">#REF!</definedName>
    <definedName name="_COH2">#REF!</definedName>
    <definedName name="_COH3">#REF!</definedName>
    <definedName name="_DAT1">#REF!</definedName>
    <definedName name="_DAT10">#REF!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10">#REF!</definedName>
    <definedName name="_Dir1">#REF!</definedName>
    <definedName name="_Dir2">#REF!</definedName>
    <definedName name="_Dist_Values" hidden="1">#REF!</definedName>
    <definedName name="_e1">#REF!</definedName>
    <definedName name="_E32">#REF!</definedName>
    <definedName name="_E5">#REF!</definedName>
    <definedName name="_eps2" hidden="1">{#N/A,#N/A,FALSE,"Aging Summary";#N/A,#N/A,FALSE,"Ratio Analysis";#N/A,#N/A,FALSE,"Test 120 Day Accts";#N/A,#N/A,FALSE,"Tickmarks"}</definedName>
    <definedName name="_F1" hidden="1">#REF!</definedName>
    <definedName name="_F2">#REF!</definedName>
    <definedName name="_fa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feb02" hidden="1">#REF!</definedName>
    <definedName name="_feb1">#REF!</definedName>
    <definedName name="_few45">#N/A</definedName>
    <definedName name="_FF6">#REF!</definedName>
    <definedName name="_Fill" hidden="1">#REF!</definedName>
    <definedName name="_FMC1">#REF!</definedName>
    <definedName name="_Fsa01">#REF!</definedName>
    <definedName name="_fsa1">#REF!</definedName>
    <definedName name="_fsa2">#REF!</definedName>
    <definedName name="_fsa3">#REF!</definedName>
    <definedName name="_fsa4">#REF!</definedName>
    <definedName name="_H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H2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H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HJ5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IA1">#REF!</definedName>
    <definedName name="_JA2">#REF!</definedName>
    <definedName name="_K1">#REF!</definedName>
    <definedName name="_k2">#REF!</definedName>
    <definedName name="_K4">#REF!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lam1">#REF!</definedName>
    <definedName name="_lam2">#REF!</definedName>
    <definedName name="_Lam3">#REF!</definedName>
    <definedName name="_Lam4">#REF!</definedName>
    <definedName name="_Lam5">#REF!</definedName>
    <definedName name="_LD1">#N/A</definedName>
    <definedName name="_LD2">#N/A</definedName>
    <definedName name="_MAN1">#REF!</definedName>
    <definedName name="_MatInverse_In" hidden="1">#REF!</definedName>
    <definedName name="_MatInverse_Out" hidden="1">#REF!</definedName>
    <definedName name="_min1" hidden="1">{"'Feb 99'!$A$1:$G$30"}</definedName>
    <definedName name="_N1">#REF!</definedName>
    <definedName name="_N4" hidden="1">{#N/A,#N/A,FALSE,"Sheet1"}</definedName>
    <definedName name="_NBL1">#REF!</definedName>
    <definedName name="_NBL2">#REF!</definedName>
    <definedName name="_new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_New2">#REF!</definedName>
    <definedName name="_o2">#REF!</definedName>
    <definedName name="_O3" hidden="1">{#N/A,#N/A,FALSE,"Sheet1"}</definedName>
    <definedName name="_O4" hidden="1">{#N/A,#N/A,FALSE,"Sheet1"}</definedName>
    <definedName name="_OCT334">#REF!</definedName>
    <definedName name="_oct98">#REF!</definedName>
    <definedName name="_ooit_exp">#REF!</definedName>
    <definedName name="_Order1" hidden="1">255</definedName>
    <definedName name="_Order2" hidden="1">0</definedName>
    <definedName name="_ots1" hidden="1">{#VALUE!,#N/A,FALSE,0}</definedName>
    <definedName name="_PB2">#REF!</definedName>
    <definedName name="_Pbs1">#REF!</definedName>
    <definedName name="_Pbs2">#REF!</definedName>
    <definedName name="_PG1">#REF!</definedName>
    <definedName name="_PG2">#REF!</definedName>
    <definedName name="_PG3">#N/A</definedName>
    <definedName name="_ph1">#REF!</definedName>
    <definedName name="_ph2">#REF!</definedName>
    <definedName name="_PL11">#REF!</definedName>
    <definedName name="_PL12">#REF!</definedName>
    <definedName name="_pl13">#REF!</definedName>
    <definedName name="_PNL10">#REF!</definedName>
    <definedName name="_pnl12">#REF!</definedName>
    <definedName name="_pnl13">#REF!</definedName>
    <definedName name="_pnl20">#REF!</definedName>
    <definedName name="_pnl30">#REF!</definedName>
    <definedName name="_pnl40">#REF!</definedName>
    <definedName name="_q2">#REF!</definedName>
    <definedName name="_qer13">#REF!</definedName>
    <definedName name="_Regression_Int" hidden="1">1</definedName>
    <definedName name="_SCH1">#REF!</definedName>
    <definedName name="_sch2">#REF!</definedName>
    <definedName name="_Sch308">#REF!</definedName>
    <definedName name="_sch4">#REF!</definedName>
    <definedName name="_Sort" hidden="1">#REF!</definedName>
    <definedName name="_sum1">#REF!</definedName>
    <definedName name="_T2" hidden="1">{#N/A,#N/A,FALSE,"Sheet1"}</definedName>
    <definedName name="_Table2_Out" hidden="1">#REF!</definedName>
    <definedName name="_tai1">#REF!</definedName>
    <definedName name="_tai2">#REF!</definedName>
    <definedName name="_tax2">#REF!</definedName>
    <definedName name="_tax3">#REF!</definedName>
    <definedName name="_tee1">#REF!</definedName>
    <definedName name="_top05">#REF!</definedName>
    <definedName name="_TOP1">#REF!</definedName>
    <definedName name="_TOP2">#REF!</definedName>
    <definedName name="_tww1">#REF!</definedName>
    <definedName name="_U11">#N/A</definedName>
    <definedName name="_U3">#REF!</definedName>
    <definedName name="_u4" hidden="1">{#N/A,#N/A,FALSE,"BS";#N/A,#N/A,FALSE,"IS";#N/A,#N/A,FALSE,"sch 9";#N/A,#N/A,FALSE,"CF";#N/A,#N/A,FALSE,"cflow_Group";#N/A,#N/A,FALSE,"gain";#N/A,#N/A,FALSE,"SCIE"}</definedName>
    <definedName name="_U5">#REF!</definedName>
    <definedName name="_UB1" hidden="1">{"'Feb 99'!$A$1:$G$30"}</definedName>
    <definedName name="_UB2" hidden="1">{"'Feb 99'!$A$1:$G$30"}</definedName>
    <definedName name="_V2">#REF!</definedName>
    <definedName name="_V3">#REF!</definedName>
    <definedName name="_V33">#N/A</definedName>
    <definedName name="_V5">#N/A</definedName>
    <definedName name="_VAR1">#REF!</definedName>
    <definedName name="_VAR2">#REF!</definedName>
    <definedName name="_VAR3">#REF!</definedName>
    <definedName name="_W4">#N/A</definedName>
    <definedName name="_W5">#N/A</definedName>
    <definedName name="_W8">#REF!</definedName>
    <definedName name="_WA2">#REF!</definedName>
    <definedName name="_wa3">#N/A</definedName>
    <definedName name="_WCHR1.T1">#N/A</definedName>
    <definedName name="_x2">#REF!</definedName>
    <definedName name="_YA1">#REF!</definedName>
    <definedName name="_za1">#REF!</definedName>
    <definedName name="_za2">#REF!</definedName>
    <definedName name="\">#REF!</definedName>
    <definedName name="\_JUNK">#N/A</definedName>
    <definedName name="\0">#REF!</definedName>
    <definedName name="\1">#REF!</definedName>
    <definedName name="\2">#REF!</definedName>
    <definedName name="\a">#REF!</definedName>
    <definedName name="\B">#REF!</definedName>
    <definedName name="\c">#REF!</definedName>
    <definedName name="\cac">#REF!</definedName>
    <definedName name="\d">#REF!</definedName>
    <definedName name="\da">#REF!</definedName>
    <definedName name="\dfhdtjht">#REF!</definedName>
    <definedName name="\E">#REF!</definedName>
    <definedName name="\F">#REF!</definedName>
    <definedName name="\FDWFDWF">#REF!</definedName>
    <definedName name="\G">#REF!</definedName>
    <definedName name="\h">#N/A</definedName>
    <definedName name="\hhh">#REF!</definedName>
    <definedName name="\i">#REF!</definedName>
    <definedName name="\iii">#REF!</definedName>
    <definedName name="\J">#REF!</definedName>
    <definedName name="\K">#REF!</definedName>
    <definedName name="\ka">#REF!</definedName>
    <definedName name="\kkkk">#REF!</definedName>
    <definedName name="\l">#N/A</definedName>
    <definedName name="\lll">#REF!</definedName>
    <definedName name="\m">#REF!</definedName>
    <definedName name="\ma">#REF!</definedName>
    <definedName name="\n">#REF!</definedName>
    <definedName name="\na">#REF!</definedName>
    <definedName name="\O">#REF!</definedName>
    <definedName name="\p">#REF!</definedName>
    <definedName name="\pa">#REF!</definedName>
    <definedName name="\par">#REF!</definedName>
    <definedName name="\pppp">#REF!</definedName>
    <definedName name="\q">#REF!</definedName>
    <definedName name="\qa">#REF!</definedName>
    <definedName name="\qaqa">#REF!</definedName>
    <definedName name="\r">#REF!</definedName>
    <definedName name="\ra">#REF!</definedName>
    <definedName name="\s">#REF!</definedName>
    <definedName name="\sasa">#REF!</definedName>
    <definedName name="\ssss">#REF!</definedName>
    <definedName name="\t">#REF!</definedName>
    <definedName name="\u">#REF!</definedName>
    <definedName name="\uuu">#REF!</definedName>
    <definedName name="\w">#REF!</definedName>
    <definedName name="\wa">#REF!</definedName>
    <definedName name="\x">#REF!</definedName>
    <definedName name="\y">#REF!</definedName>
    <definedName name="\z">#REF!</definedName>
    <definedName name="\zaliza">#REF!</definedName>
    <definedName name="a">#REF!</definedName>
    <definedName name="a___0">#REF!</definedName>
    <definedName name="a___12">#REF!</definedName>
    <definedName name="a___14">#REF!</definedName>
    <definedName name="a___3">#REF!</definedName>
    <definedName name="a___4">#REF!</definedName>
    <definedName name="a___5">#REF!</definedName>
    <definedName name="a___6">#REF!</definedName>
    <definedName name="a___7">#REF!</definedName>
    <definedName name="a___8">#REF!</definedName>
    <definedName name="A_02">#REF!</definedName>
    <definedName name="A_1b">#REF!</definedName>
    <definedName name="A_DescriptionList">#REF!</definedName>
    <definedName name="a101.01">#REF!</definedName>
    <definedName name="a12120_">#REF!</definedName>
    <definedName name="a12220_">#REF!</definedName>
    <definedName name="a12241_">#REF!</definedName>
    <definedName name="a12260_">#REF!</definedName>
    <definedName name="a12270_">#REF!</definedName>
    <definedName name="a13220_">#REF!</definedName>
    <definedName name="a13230_">#REF!</definedName>
    <definedName name="a13320_">#REF!</definedName>
    <definedName name="a13330_">#REF!</definedName>
    <definedName name="a13720_">#REF!</definedName>
    <definedName name="a13730_">#REF!</definedName>
    <definedName name="a13750_">#REF!</definedName>
    <definedName name="a13760_">#REF!</definedName>
    <definedName name="a13820_">#REF!</definedName>
    <definedName name="a13830_">#REF!</definedName>
    <definedName name="a13850_">#REF!</definedName>
    <definedName name="a13860_">#REF!</definedName>
    <definedName name="A1408AA">#REF!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3A" hidden="1">{#N/A,#N/A,FALSE,"Sheet1"}</definedName>
    <definedName name="A507A">#REF!</definedName>
    <definedName name="A7A">#REF!</definedName>
    <definedName name="AA">#REF!</definedName>
    <definedName name="AA_CALCULATION">#REF!</definedName>
    <definedName name="aaa">#REF!</definedName>
    <definedName name="aaa___0">#REF!</definedName>
    <definedName name="aaa___12">#REF!</definedName>
    <definedName name="aaa___14">#REF!</definedName>
    <definedName name="aaa___3">#REF!</definedName>
    <definedName name="aaa___5">#REF!</definedName>
    <definedName name="aaa___6">#REF!</definedName>
    <definedName name="aaa___8">#REF!</definedName>
    <definedName name="AAAA">#REF!</definedName>
    <definedName name="aaaaa">#REF!</definedName>
    <definedName name="AAAAAAA">#REF!</definedName>
    <definedName name="AAAAAAAAA">#REF!</definedName>
    <definedName name="AAAAAAAAAA" hidden="1">{#N/A,#N/A,FALSE,"Sheet1"}</definedName>
    <definedName name="AAAAAAAAAAAAA" hidden="1">{#N/A,#N/A,FALSE,"Sheet1"}</definedName>
    <definedName name="aaaaaaaaaaaaaaaaaaaaaaa" hidden="1">{#N/A,#N/A,FALSE,"Sheet1"}</definedName>
    <definedName name="aaaaaaaaaaaaaaaaaaaaaaaaaaaaaaaaaaaaaaaaaaaaaaaaaaaaaaaaaaaaaaaaaaaaaaaaaaaaaaaaaaaaaaaaaaaaa">#REF!</definedName>
    <definedName name="aaaaaaaaaaaaaaaaaaaaaaaaaaaaaaaaaaaaaaaaaaaaaaaaaaaaaaaaaaaaaaaaaaaaaaaaaaaaaaaaaaaaaaaaaaaaaaaaaaaaaaaaaaaaaaaaaaaaaaaaaaaaaaaaaaa" hidden="1">{#N/A,#N/A,FALSE,"Sheet1"}</definedName>
    <definedName name="aac">#REF!</definedName>
    <definedName name="AAClaim">#REF!</definedName>
    <definedName name="ab">#REF!</definedName>
    <definedName name="ABA">#REF!</definedName>
    <definedName name="ABC">#REF!</definedName>
    <definedName name="AC">#REF!</definedName>
    <definedName name="Acc_Depreciation">#REF!</definedName>
    <definedName name="Acc_Limit">#REF!</definedName>
    <definedName name="Acc_Names">#REF!</definedName>
    <definedName name="Acc_Numbers">#REF!</definedName>
    <definedName name="AccessDatabase" hidden="1">"C:\My Documents\AMILD DUTY DRAWBACK.mdb"</definedName>
    <definedName name="Accruals">#REF!</definedName>
    <definedName name="ACCRUEDCHARGES">#REF!</definedName>
    <definedName name="Accumulated_Profit__Loss">#REF!</definedName>
    <definedName name="ACT2a">#REF!</definedName>
    <definedName name="ACT2z">#REF!</definedName>
    <definedName name="ACTV1">#REF!</definedName>
    <definedName name="ad">#REF!</definedName>
    <definedName name="ADA" hidden="1">{"'Feb 99'!$A$1:$G$30"}</definedName>
    <definedName name="adc">#REF!</definedName>
    <definedName name="ADD">#REF!</definedName>
    <definedName name="Add_Less">#REF!</definedName>
    <definedName name="ADDITIONS_2">#REF!</definedName>
    <definedName name="Adj">#REF!</definedName>
    <definedName name="Adm">#REF!</definedName>
    <definedName name="Admin">#REF!</definedName>
    <definedName name="AdminExp">#REF!</definedName>
    <definedName name="AdminExp2">#REF!</definedName>
    <definedName name="AdmP">#REF!</definedName>
    <definedName name="ads" hidden="1">{#N/A,#N/A,FALSE,"Sheet1"}</definedName>
    <definedName name="adv">#REF!</definedName>
    <definedName name="adwdWQ">#REF!</definedName>
    <definedName name="aeae">#REF!</definedName>
    <definedName name="aer">#REF!</definedName>
    <definedName name="af">#REF!</definedName>
    <definedName name="afadfdasf">#REF!</definedName>
    <definedName name="afaf">#REF!</definedName>
    <definedName name="afdasfas">#REF!</definedName>
    <definedName name="afdaw">#REF!</definedName>
    <definedName name="afdqwdq">#REF!</definedName>
    <definedName name="afdsfdsg">#REF!</definedName>
    <definedName name="afdsgdsgv">#REF!</definedName>
    <definedName name="afdsgrf">#REF!</definedName>
    <definedName name="affadsg">#REF!</definedName>
    <definedName name="afqwff">#REF!</definedName>
    <definedName name="age">#REF!</definedName>
    <definedName name="Ageing">#REF!</definedName>
    <definedName name="agerr">#REF!</definedName>
    <definedName name="agsegr">#REF!</definedName>
    <definedName name="agsgwshd">#REF!</definedName>
    <definedName name="agtesgeg">#REF!</definedName>
    <definedName name="AGWgrwqg">#REF!</definedName>
    <definedName name="ahm" hidden="1">{"'Feb 99'!$A$1:$G$30"}</definedName>
    <definedName name="ain">#REF!</definedName>
    <definedName name="AJE">#N/A</definedName>
    <definedName name="AJE.COS">#REF!</definedName>
    <definedName name="aje2to5">#REF!</definedName>
    <definedName name="ALI" hidden="1">{"'Feb 99'!$A$1:$G$30"}</definedName>
    <definedName name="ALL">#N/A</definedName>
    <definedName name="all0t1">#REF!</definedName>
    <definedName name="ALLEN">#REF!</definedName>
    <definedName name="ALLENCAP">#REF!</definedName>
    <definedName name="ALLENKEY">#REF!</definedName>
    <definedName name="ALLOT1">#REF!</definedName>
    <definedName name="ALLOT2">#REF!</definedName>
    <definedName name="AllRatios">#REF!</definedName>
    <definedName name="AMALBS">#REF!</definedName>
    <definedName name="AMALP_L">#REF!</definedName>
    <definedName name="AMTDUERELCO.">#REF!</definedName>
    <definedName name="ANALYSIS_OF_EXP_BY_DEPT">#REF!</definedName>
    <definedName name="analysisde1">#REF!</definedName>
    <definedName name="analysisde1___0">#REF!</definedName>
    <definedName name="analysisde1___12">#REF!</definedName>
    <definedName name="analysisde1___14">#REF!</definedName>
    <definedName name="analysisde1___3">#REF!</definedName>
    <definedName name="analysisde1___5">#REF!</definedName>
    <definedName name="analysisde1___6">#REF!</definedName>
    <definedName name="analysisde1___8">#REF!</definedName>
    <definedName name="analysisde2">#REF!</definedName>
    <definedName name="analysisde2___0">#REF!</definedName>
    <definedName name="analysisde2___12">#REF!</definedName>
    <definedName name="analysisde2___14">#REF!</definedName>
    <definedName name="analysisde2___3">#REF!</definedName>
    <definedName name="analysisde2___5">#REF!</definedName>
    <definedName name="analysisde2___6">#REF!</definedName>
    <definedName name="analysisde2___8">#REF!</definedName>
    <definedName name="Anis">#REF!</definedName>
    <definedName name="ANN8JAN02">#REF!</definedName>
    <definedName name="annaly" hidden="1">#REF!</definedName>
    <definedName name="ANNUAL_ALLOWAN">#REF!</definedName>
    <definedName name="Annual_interest_rate">#REF!</definedName>
    <definedName name="anscount" hidden="1">1</definedName>
    <definedName name="apek">#REF!</definedName>
    <definedName name="apim">#REF!</definedName>
    <definedName name="App">#REF!</definedName>
    <definedName name="AppC">#REF!</definedName>
    <definedName name="appendix1">#REF!</definedName>
    <definedName name="appendix1___0">#REF!</definedName>
    <definedName name="appendix1___12">#REF!</definedName>
    <definedName name="appendix1___14">#REF!</definedName>
    <definedName name="appendix1___3">#REF!</definedName>
    <definedName name="appendix1___5">#REF!</definedName>
    <definedName name="appendix1___6">#REF!</definedName>
    <definedName name="appendix1___8">#REF!</definedName>
    <definedName name="appendix2_1">#REF!</definedName>
    <definedName name="appendix2_1___0">#REF!</definedName>
    <definedName name="appendix2_1___12">#REF!</definedName>
    <definedName name="appendix2_1___14">#REF!</definedName>
    <definedName name="appendix2_1___3">#REF!</definedName>
    <definedName name="appendix2_1___5">#REF!</definedName>
    <definedName name="appendix2_1___6">#REF!</definedName>
    <definedName name="appendix2_1___8">#REF!</definedName>
    <definedName name="appendix2_2">#REF!</definedName>
    <definedName name="appendix2_2___0">#REF!</definedName>
    <definedName name="appendix2_2___12">#REF!</definedName>
    <definedName name="appendix2_2___14">#REF!</definedName>
    <definedName name="appendix2_2___3">#REF!</definedName>
    <definedName name="appendix2_2___5">#REF!</definedName>
    <definedName name="appendix2_2___6">#REF!</definedName>
    <definedName name="appendix2_2___8">#REF!</definedName>
    <definedName name="AppJ">#REF!</definedName>
    <definedName name="Appx_F">#REF!</definedName>
    <definedName name="Apr">#REF!</definedName>
    <definedName name="APRATE">#REF!</definedName>
    <definedName name="APRATEEUR">#REF!</definedName>
    <definedName name="APROFIT">#REF!</definedName>
    <definedName name="APROFITPH1">#REF!</definedName>
    <definedName name="APROFITPH2">#REF!</definedName>
    <definedName name="APROFITPH3">#REF!</definedName>
    <definedName name="APROFITPH4">#REF!</definedName>
    <definedName name="APROFITPH5">#REF!</definedName>
    <definedName name="APROFITPH6AB">#REF!</definedName>
    <definedName name="APROFITPH7A">#REF!</definedName>
    <definedName name="APROFITPH9A">#REF!</definedName>
    <definedName name="AprRatios">#REF!</definedName>
    <definedName name="Aq">#REF!</definedName>
    <definedName name="AR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araet">#REF!</definedName>
    <definedName name="aratewt">#REF!</definedName>
    <definedName name="araw98" hidden="1">{#N/A,#N/A,FALSE,"FG2540"}</definedName>
    <definedName name="arawtewt">#REF!</definedName>
    <definedName name="ARE">#REF!</definedName>
    <definedName name="area122">#REF!</definedName>
    <definedName name="areawtewt">#REF!</definedName>
    <definedName name="ARM">#REF!</definedName>
    <definedName name="ARMREST">#REF!</definedName>
    <definedName name="ARRATE">#REF!</definedName>
    <definedName name="arrrr">#REF!</definedName>
    <definedName name="as">#REF!</definedName>
    <definedName name="AS2DocOpenMode" hidden="1">"AS2DocumentEdit"</definedName>
    <definedName name="AS2HasNoAutoHeaderFooter" hidden="1">" "</definedName>
    <definedName name="asd">#REF!</definedName>
    <definedName name="asdas">#REF!</definedName>
    <definedName name="asdawfda">#REF!</definedName>
    <definedName name="asdf">#REF!</definedName>
    <definedName name="asdfasdfsadfsadf" hidden="1">{#N/A,#N/A,FALSE,"Sheet1"}</definedName>
    <definedName name="asdsd">#REF!</definedName>
    <definedName name="aset" hidden="1">#REF!</definedName>
    <definedName name="aset1" hidden="1">#REF!</definedName>
    <definedName name="asfadfad">#REF!</definedName>
    <definedName name="asfafa">#REF!</definedName>
    <definedName name="askme">#REF!</definedName>
    <definedName name="asset">#REF!</definedName>
    <definedName name="asset2" hidden="1">#REF!</definedName>
    <definedName name="ASSETS">#N/A</definedName>
    <definedName name="asss">#REF!</definedName>
    <definedName name="asxad">#REF!</definedName>
    <definedName name="atc">#REF!</definedName>
    <definedName name="atgeseh">#REF!</definedName>
    <definedName name="atp">#REF!</definedName>
    <definedName name="Att_Profit">#REF!</definedName>
    <definedName name="au" hidden="1">{"'Feb 99'!$A$1:$G$30"}</definedName>
    <definedName name="audit">#REF!</definedName>
    <definedName name="Aug">#REF!</definedName>
    <definedName name="AugRatios">#REF!</definedName>
    <definedName name="AV">#REF!</definedName>
    <definedName name="avg_int_on_loans">#REF!</definedName>
    <definedName name="avg_int_on_npls">#REF!</definedName>
    <definedName name="aw">#REF!</definedName>
    <definedName name="aweeee" hidden="1">{#N/A,#N/A,FALSE,"Sheet1"}</definedName>
    <definedName name="awps">#REF!</definedName>
    <definedName name="awps___0">#REF!</definedName>
    <definedName name="awps___12">#REF!</definedName>
    <definedName name="awps___14">#REF!</definedName>
    <definedName name="awps___3">#REF!</definedName>
    <definedName name="awps___5">#REF!</definedName>
    <definedName name="awps___6">#REF!</definedName>
    <definedName name="awps___8">#REF!</definedName>
    <definedName name="b">#REF!</definedName>
    <definedName name="B_">#REF!</definedName>
    <definedName name="b___0">#REF!</definedName>
    <definedName name="b___12">#REF!</definedName>
    <definedName name="b___14">#REF!</definedName>
    <definedName name="b___3">#REF!</definedName>
    <definedName name="b___5">#REF!</definedName>
    <definedName name="b___6">#REF!</definedName>
    <definedName name="b___8">#REF!</definedName>
    <definedName name="B_02">#REF!</definedName>
    <definedName name="B_03">#REF!</definedName>
    <definedName name="B_05">#REF!</definedName>
    <definedName name="B_08">#REF!</definedName>
    <definedName name="B_2">#REF!</definedName>
    <definedName name="B_2a">#REF!</definedName>
    <definedName name="B_3">#REF!</definedName>
    <definedName name="B_5">#REF!</definedName>
    <definedName name="B_Tradedebtor">#REF!</definedName>
    <definedName name="B.sheet">#REF!</definedName>
    <definedName name="B1_circularise">#REF!</definedName>
    <definedName name="b95310_">#REF!</definedName>
    <definedName name="b95320_">#REF!</definedName>
    <definedName name="b95330_">#REF!</definedName>
    <definedName name="b95340_">#REF!</definedName>
    <definedName name="BA">#REF!</definedName>
    <definedName name="BABA" hidden="1">{"'Feb 99'!$A$1:$G$30"}</definedName>
    <definedName name="back6">#REF!</definedName>
    <definedName name="back7">#REF!</definedName>
    <definedName name="BAClaim">#REF!</definedName>
    <definedName name="BAClaim1">#REF!</definedName>
    <definedName name="BAL">#REF!</definedName>
    <definedName name="BALANCE_SHEET">#REF!</definedName>
    <definedName name="BALANCE_SHEET_BUDGETED_FOR_THE_YEAR_ENDED">#REF!</definedName>
    <definedName name="balancesheet">#REF!</definedName>
    <definedName name="balsht">#REF!</definedName>
    <definedName name="Bank">#REF!</definedName>
    <definedName name="Bank_Overdraft">#REF!</definedName>
    <definedName name="Basis_end">#REF!</definedName>
    <definedName name="Basis_start">#REF!</definedName>
    <definedName name="bb">#REF!</definedName>
    <definedName name="BB_1a">#REF!</definedName>
    <definedName name="BB_2">#REF!</definedName>
    <definedName name="BB_3">#REF!</definedName>
    <definedName name="bbbb">#REF!</definedName>
    <definedName name="bbbbb" hidden="1">{#N/A,#N/A,FALSE,"Sheet1"}</definedName>
    <definedName name="bbbbbbbbbbbbbbbb" hidden="1">{#N/A,#N/A,FALSE,"Sheet1"}</definedName>
    <definedName name="BC">#REF!</definedName>
    <definedName name="BCClaim">#REF!</definedName>
    <definedName name="BCClaim1">#REF!</definedName>
    <definedName name="BCM">#REF!</definedName>
    <definedName name="bee">#REF!</definedName>
    <definedName name="Beg_Bal">#REF!</definedName>
    <definedName name="BER_data">#REF!</definedName>
    <definedName name="BF">#REF!</definedName>
    <definedName name="BF0">#REF!</definedName>
    <definedName name="bfc">#REF!</definedName>
    <definedName name="BFO">#REF!</definedName>
    <definedName name="bfp">#REF!</definedName>
    <definedName name="BGCOSTPH1">#REF!</definedName>
    <definedName name="BGCOSTPH2">#REF!</definedName>
    <definedName name="BGCOSTPH3">#REF!</definedName>
    <definedName name="BGCOSTPH4">#REF!</definedName>
    <definedName name="BGCOSTPH5">#REF!</definedName>
    <definedName name="BGCOSTPH6">#REF!</definedName>
    <definedName name="BGCOSTPH6CD">#REF!</definedName>
    <definedName name="BGCOSTPH7">#REF!</definedName>
    <definedName name="BGCOSTPH7B">#REF!</definedName>
    <definedName name="BGCOSTPH9A">#REF!</definedName>
    <definedName name="BGOC">#REF!</definedName>
    <definedName name="BI">#REF!</definedName>
    <definedName name="binu">#REF!</definedName>
    <definedName name="bk" hidden="1">{#N/A,#N/A,FALSE,"Sheet1"}</definedName>
    <definedName name="blank">#N/A</definedName>
    <definedName name="BldgContractor">#REF!</definedName>
    <definedName name="BLSA">#REF!</definedName>
    <definedName name="BOARD">#REF!</definedName>
    <definedName name="borrowings">#REF!</definedName>
    <definedName name="BPAWITHOUT">#REF!</definedName>
    <definedName name="BPBWITHOUT">#REF!</definedName>
    <definedName name="BPR_01">#REF!</definedName>
    <definedName name="BPR_BRD">#REF!</definedName>
    <definedName name="BPR_BS">#REF!</definedName>
    <definedName name="BPR_pl">#REF!</definedName>
    <definedName name="BS">#REF!</definedName>
    <definedName name="BS_00">#REF!</definedName>
    <definedName name="BS_01">#REF!</definedName>
    <definedName name="BS_02">#REF!</definedName>
    <definedName name="BS_03">#REF!</definedName>
    <definedName name="BS_04">#REF!</definedName>
    <definedName name="BS_05">#REF!</definedName>
    <definedName name="BS06A">#REF!</definedName>
    <definedName name="BS06B">#REF!</definedName>
    <definedName name="BSCA">#REF!</definedName>
    <definedName name="Bsheet">#REF!</definedName>
    <definedName name="bsheet2">#REF!</definedName>
    <definedName name="BSLA">#REF!</definedName>
    <definedName name="BSNotes">#REF!</definedName>
    <definedName name="bsw">#REF!</definedName>
    <definedName name="btc">#REF!</definedName>
    <definedName name="btp">#REF!</definedName>
    <definedName name="bu" hidden="1">{#N/A,#N/A,FALSE,"Sheet1"}</definedName>
    <definedName name="Budget">#REF!</definedName>
    <definedName name="BudRateNZ">0.87</definedName>
    <definedName name="BudRateUS">0.778513</definedName>
    <definedName name="BuiltIn_AutoFilter___2">#REF!</definedName>
    <definedName name="BuiltIn_Print_Area">#REF!</definedName>
    <definedName name="BuiltIn_Print_Area___0">#REF!</definedName>
    <definedName name="BuiltIn_Print_Area___0___0">#REF!</definedName>
    <definedName name="bvb">#REF!</definedName>
    <definedName name="BY1BS">#REF!</definedName>
    <definedName name="BYTD">#REF!</definedName>
    <definedName name="C_">#N/A</definedName>
    <definedName name="C_01">#REF!</definedName>
    <definedName name="C_1a">#REF!</definedName>
    <definedName name="C_1b">#REF!</definedName>
    <definedName name="C_4">#REF!</definedName>
    <definedName name="C_5a">#REF!</definedName>
    <definedName name="C_Stock">#REF!</definedName>
    <definedName name="CA">#REF!</definedName>
    <definedName name="CA___0">#REF!</definedName>
    <definedName name="CA___12">#REF!</definedName>
    <definedName name="CAAPR">#REF!</definedName>
    <definedName name="CAJE">#REF!</definedName>
    <definedName name="cancel">#REF!</definedName>
    <definedName name="CANTILEVER">#REF!</definedName>
    <definedName name="capsum">#REF!</definedName>
    <definedName name="CARRIED_FORWARD">#REF!</definedName>
    <definedName name="CARTON">#REF!</definedName>
    <definedName name="CASH">#REF!</definedName>
    <definedName name="Cash___Bank_Balances">#REF!</definedName>
    <definedName name="Cashbook" hidden="1">{#N/A,#N/A,FALSE,"Sheet1"}</definedName>
    <definedName name="Cashflow">#REF!</definedName>
    <definedName name="Cashfw_00">#REF!</definedName>
    <definedName name="Cashfw_01">#REF!</definedName>
    <definedName name="Cashfw_02">#REF!</definedName>
    <definedName name="Cashfw_03">#REF!</definedName>
    <definedName name="Cashfw_04">#REF!</definedName>
    <definedName name="CATotals">#REF!</definedName>
    <definedName name="CATotals1">#REF!</definedName>
    <definedName name="Cbank">#REF!</definedName>
    <definedName name="Cbankoverdraft">#REF!</definedName>
    <definedName name="CbankoverdraftP">#REF!</definedName>
    <definedName name="CbankP">#REF!</definedName>
    <definedName name="cc">#REF!</definedName>
    <definedName name="CC_1">#REF!</definedName>
    <definedName name="CC_3">#REF!</definedName>
    <definedName name="CC_othercreditor">#REF!</definedName>
    <definedName name="ccc">#REF!</definedName>
    <definedName name="cccc">#REF!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">#REF!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FASO">#REF!</definedName>
    <definedName name="CCFDIR">#REF!</definedName>
    <definedName name="CCFHOL">#REF!</definedName>
    <definedName name="CCFINV">#REF!</definedName>
    <definedName name="CCFPAY">#REF!</definedName>
    <definedName name="CCFREC">#REF!</definedName>
    <definedName name="CCFREL">#REF!</definedName>
    <definedName name="CCFSUB">#REF!</definedName>
    <definedName name="CCM">#REF!</definedName>
    <definedName name="CCMRP">#REF!</definedName>
    <definedName name="CDB">#REF!</definedName>
    <definedName name="CDIV">#REF!</definedName>
    <definedName name="cefewfee">#REF!</definedName>
    <definedName name="CF">#REF!</definedName>
    <definedName name="CF_1a">#REF!</definedName>
    <definedName name="CF_2a">#REF!</definedName>
    <definedName name="CF_2b">#REF!</definedName>
    <definedName name="CF_2b1">#REF!</definedName>
    <definedName name="CF_2b2">#REF!</definedName>
    <definedName name="CF_3a">#REF!</definedName>
    <definedName name="CF_3a1">#REF!</definedName>
    <definedName name="CF_3b">#REF!</definedName>
    <definedName name="CF_3b1">#REF!</definedName>
    <definedName name="CF_3b2">#REF!</definedName>
    <definedName name="CF_3c">#REF!</definedName>
    <definedName name="CF_3d">#REF!</definedName>
    <definedName name="CF_3e">#REF!</definedName>
    <definedName name="CF_3e1">#REF!</definedName>
    <definedName name="CF_3e2">#REF!</definedName>
    <definedName name="CF_3f">#REF!</definedName>
    <definedName name="CF_3f1">#REF!</definedName>
    <definedName name="CF_3f2">#REF!</definedName>
    <definedName name="CF_3f3">#REF!</definedName>
    <definedName name="CF_3f4">#REF!</definedName>
    <definedName name="CF_3f5">#REF!</definedName>
    <definedName name="CF_3g">#REF!</definedName>
    <definedName name="CF_3h">#REF!</definedName>
    <definedName name="CF0">#REF!</definedName>
    <definedName name="Cflow">#REF!</definedName>
    <definedName name="CFLOW2">#REF!</definedName>
    <definedName name="CFLOW3">#REF!</definedName>
    <definedName name="CFO">#REF!</definedName>
    <definedName name="CFWORKING">#REF!</definedName>
    <definedName name="CHAIRBASE">#REF!</definedName>
    <definedName name="Chargeable">#REF!</definedName>
    <definedName name="checking">#REF!</definedName>
    <definedName name="ChecklistN">#REF!</definedName>
    <definedName name="chong" hidden="1">#REF!</definedName>
    <definedName name="citta" hidden="1">{"'Feb 99'!$A$1:$G$30"}</definedName>
    <definedName name="cksv">#REF!</definedName>
    <definedName name="CL">#REF!</definedName>
    <definedName name="client_name">"TOA Paint (Malaysia) Sdn Bhd"</definedName>
    <definedName name="CM">#REF!</definedName>
    <definedName name="Co">#REF!</definedName>
    <definedName name="Co_name">#REF!</definedName>
    <definedName name="CODE">#REF!</definedName>
    <definedName name="COH">#REF!</definedName>
    <definedName name="cohb">#REF!</definedName>
    <definedName name="COHB1">#REF!</definedName>
    <definedName name="COHB2">#REF!</definedName>
    <definedName name="COHB3">#REF!</definedName>
    <definedName name="Col_Numbers">#REF!</definedName>
    <definedName name="Col_Type">#REF!</definedName>
    <definedName name="ColorArea">#REF!</definedName>
    <definedName name="COMBINE">#REF!</definedName>
    <definedName name="COMMISSION_RECEIVED">#REF!</definedName>
    <definedName name="COMMITMENTS">#N/A</definedName>
    <definedName name="CommonCost">#REF!</definedName>
    <definedName name="COMPANY">#REF!</definedName>
    <definedName name="COMPUTER">#REF!</definedName>
    <definedName name="con" hidden="1">#REF!</definedName>
    <definedName name="Conadj">#REF!</definedName>
    <definedName name="conloss">#REF!</definedName>
    <definedName name="consol">#REF!</definedName>
    <definedName name="CONSOL_JNL">#REF!</definedName>
    <definedName name="Consolidate_Area">#N/A</definedName>
    <definedName name="consolidation">#REF!</definedName>
    <definedName name="cONSOLpl">#REF!</definedName>
    <definedName name="Cont">#REF!</definedName>
    <definedName name="CONTENTS">#REF!</definedName>
    <definedName name="CONTINGENCY">#N/A</definedName>
    <definedName name="CONTROL">#N/A</definedName>
    <definedName name="copy">#REF!</definedName>
    <definedName name="COS">#REF!</definedName>
    <definedName name="COSP">#REF!</definedName>
    <definedName name="cost">#REF!</definedName>
    <definedName name="cost___0">#REF!</definedName>
    <definedName name="cost___12">#REF!</definedName>
    <definedName name="cost___14">#REF!</definedName>
    <definedName name="cost___3">#REF!</definedName>
    <definedName name="cost___5">#REF!</definedName>
    <definedName name="cost___6">#REF!</definedName>
    <definedName name="cost___8">#REF!</definedName>
    <definedName name="Costofsales">#REF!</definedName>
    <definedName name="cosw" hidden="1">{"'Feb 99'!$A$1:$G$30"}</definedName>
    <definedName name="Count3">#REF!</definedName>
    <definedName name="COV">#REF!</definedName>
    <definedName name="COV___0">#REF!</definedName>
    <definedName name="COV___12">#REF!</definedName>
    <definedName name="COV___14">#REF!</definedName>
    <definedName name="COV___3">#REF!</definedName>
    <definedName name="COV___5">#REF!</definedName>
    <definedName name="COV___6">#REF!</definedName>
    <definedName name="COV___8">#REF!</definedName>
    <definedName name="cover">#REF!</definedName>
    <definedName name="Coy_cel">#REF!</definedName>
    <definedName name="Coy_cell">#REF!</definedName>
    <definedName name="Coy_name">#REF!</definedName>
    <definedName name="CPRP">#REF!</definedName>
    <definedName name="crap">#REF!</definedName>
    <definedName name="creditor">#REF!</definedName>
    <definedName name="CREDITORS">#REF!</definedName>
    <definedName name="Creditors1">#REF!</definedName>
    <definedName name="CresitorAccruals">#REF!</definedName>
    <definedName name="cri">#REF!</definedName>
    <definedName name="criteri">#REF!</definedName>
    <definedName name="_xlnm.Criteria">#REF!</definedName>
    <definedName name="Criteria_MI">#REF!</definedName>
    <definedName name="Criteria1">#REF!</definedName>
    <definedName name="CRP">#REF!</definedName>
    <definedName name="CS">#REF!</definedName>
    <definedName name="CSUM">#REF!</definedName>
    <definedName name="CTAX">#REF!</definedName>
    <definedName name="CTO">#REF!</definedName>
    <definedName name="ctrrr">#REF!</definedName>
    <definedName name="CTTotals">#REF!</definedName>
    <definedName name="CTTotals1">#REF!</definedName>
    <definedName name="Cum_Int">#REF!</definedName>
    <definedName name="curr">#REF!</definedName>
    <definedName name="Current">#REF!</definedName>
    <definedName name="CURRENT_ASSETS">#REF!</definedName>
    <definedName name="CURRENT_LIABILITIES">#REF!</definedName>
    <definedName name="current_ya">2001</definedName>
    <definedName name="Current_Year_Profit._Loss">#REF!</definedName>
    <definedName name="currentperiod">#REF!</definedName>
    <definedName name="CurrentYA">#REF!</definedName>
    <definedName name="CurrentYA___0">#REF!</definedName>
    <definedName name="CurrentYA___12">#REF!</definedName>
    <definedName name="CurrentYA___14">#REF!</definedName>
    <definedName name="CurrentYA___3">#REF!</definedName>
    <definedName name="CurrentYA___5">#REF!</definedName>
    <definedName name="CurrentYA___6">#REF!</definedName>
    <definedName name="CurrentYA___8">#REF!</definedName>
    <definedName name="currentYE">#REF!</definedName>
    <definedName name="CurrYA">#REF!</definedName>
    <definedName name="CurrYA___0">#REF!</definedName>
    <definedName name="CurrYA___12">#REF!</definedName>
    <definedName name="CurrYA___14">#REF!</definedName>
    <definedName name="CurrYA___3">#REF!</definedName>
    <definedName name="CurrYA___5">#REF!</definedName>
    <definedName name="CurrYA___6">#REF!</definedName>
    <definedName name="CurrYA___8">#REF!</definedName>
    <definedName name="CUST">#REF!</definedName>
    <definedName name="CUSTOMER_DEPOSITS">#REF!</definedName>
    <definedName name="Customize">#REF!</definedName>
    <definedName name="CVCV" hidden="1">{#VALUE!,#N/A,FALSE,0}</definedName>
    <definedName name="CY">#REF!</definedName>
    <definedName name="CYAA">#REF!</definedName>
    <definedName name="CYAAM">#REF!</definedName>
    <definedName name="CYAAU">#REF!</definedName>
    <definedName name="CYAAUM">#REF!</definedName>
    <definedName name="cycle">#REF!</definedName>
    <definedName name="CYFC">#REF!</definedName>
    <definedName name="CYFCE">#REF!</definedName>
    <definedName name="CYFCM">#REF!</definedName>
    <definedName name="CYFCS">#REF!</definedName>
    <definedName name="CYTD">#REF!</definedName>
    <definedName name="CYUA">#REF!</definedName>
    <definedName name="CYUAM">#REF!</definedName>
    <definedName name="d">#REF!</definedName>
    <definedName name="da">"TOA Paint (Malaysia) Sdn Bhd"</definedName>
    <definedName name="dad" hidden="1">{#N/A,#N/A,FALSE,"Sheet1"}</definedName>
    <definedName name="dadadsa" hidden="1">{"'Feb 99'!$A$1:$G$30"}</definedName>
    <definedName name="dagdsgds">#REF!</definedName>
    <definedName name="Data">#REF!</definedName>
    <definedName name="Data___0">#REF!</definedName>
    <definedName name="Data___12">#REF!</definedName>
    <definedName name="Data___14">#REF!</definedName>
    <definedName name="Data___3">#REF!</definedName>
    <definedName name="Data___5">#REF!</definedName>
    <definedName name="Data___6">#REF!</definedName>
    <definedName name="Data___8">#REF!</definedName>
    <definedName name="data1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base">#REF!</definedName>
    <definedName name="Database_MI">#REF!</definedName>
    <definedName name="Database1">#REF!</definedName>
    <definedName name="DataCalcCapture">#REF!</definedName>
    <definedName name="DataEntryCM">#REF!</definedName>
    <definedName name="Date">#REF!</definedName>
    <definedName name="dAWDAWDA">#REF!</definedName>
    <definedName name="dbase">#REF!</definedName>
    <definedName name="dd">#REF!</definedName>
    <definedName name="DD_Curr">#REF!</definedName>
    <definedName name="ddd">#REF!</definedName>
    <definedName name="dddd">#REF!</definedName>
    <definedName name="ddddd" hidden="1">{#N/A,#N/A,FALSE,"Sheet1"}</definedName>
    <definedName name="ddddddd" hidden="1">{#N/A,#N/A,FALSE,"Sheet1"}</definedName>
    <definedName name="ddgg">#REF!</definedName>
    <definedName name="dds">#REF!</definedName>
    <definedName name="de">#REF!</definedName>
    <definedName name="DEB">#REF!</definedName>
    <definedName name="DEBTOR">#REF!</definedName>
    <definedName name="Dec">#REF!</definedName>
    <definedName name="DecRatios">#REF!</definedName>
    <definedName name="DEDetail">#REF!</definedName>
    <definedName name="DefDif">#REF!</definedName>
    <definedName name="deferred">#REF!</definedName>
    <definedName name="Deferred_Liabilities">#REF!</definedName>
    <definedName name="defexp">#REF!</definedName>
    <definedName name="defsd">#REF!</definedName>
    <definedName name="DEMonths">#REF!</definedName>
    <definedName name="DENO">#REF!</definedName>
    <definedName name="DENOS">#REF!</definedName>
    <definedName name="dep">#REF!</definedName>
    <definedName name="Depn_Bk_Amortisation">#REF!</definedName>
    <definedName name="Depn_Bk_Assets">#REF!</definedName>
    <definedName name="Depn_book">#REF!</definedName>
    <definedName name="Depn_tax">#REF!</definedName>
    <definedName name="Depn_taxatbook">#REF!</definedName>
    <definedName name="Depn_trcosts">#REF!</definedName>
    <definedName name="depnaccrl">#REF!</definedName>
    <definedName name="Depr">#REF!</definedName>
    <definedName name="Depreciation">#REF!</definedName>
    <definedName name="Depreciation2">#REF!</definedName>
    <definedName name="Deptn">#REF!</definedName>
    <definedName name="Detail20">#REF!</definedName>
    <definedName name="DETAILS_FA">#REF!</definedName>
    <definedName name="develop">#REF!</definedName>
    <definedName name="dew">#REF!</definedName>
    <definedName name="dfasd">#REF!</definedName>
    <definedName name="dfd">#REF!</definedName>
    <definedName name="dfd___0">#REF!</definedName>
    <definedName name="dfd___12">#REF!</definedName>
    <definedName name="dfd___14">#REF!</definedName>
    <definedName name="dfd___3">#REF!</definedName>
    <definedName name="dfd___5">#REF!</definedName>
    <definedName name="dfd___6">#REF!</definedName>
    <definedName name="dfd___8">#REF!</definedName>
    <definedName name="dfdf">#REF!</definedName>
    <definedName name="dfdfds">#REF!</definedName>
    <definedName name="DFDFDW">#REF!</definedName>
    <definedName name="dfdfff">#REF!</definedName>
    <definedName name="dffd">#REF!</definedName>
    <definedName name="dffgdfrd">#REF!</definedName>
    <definedName name="dfg">#REF!</definedName>
    <definedName name="dfgdfdf">#REF!</definedName>
    <definedName name="dfgdfg">#REF!</definedName>
    <definedName name="dfgfd">#REF!</definedName>
    <definedName name="dfgrfgsdg">#REF!</definedName>
    <definedName name="dfh">#REF!</definedName>
    <definedName name="dfhddt">#REF!</definedName>
    <definedName name="dfhdffd">#REF!</definedName>
    <definedName name="dfhdfhdf">#REF!</definedName>
    <definedName name="dfhfh">#REF!</definedName>
    <definedName name="dfhnfj">#REF!</definedName>
    <definedName name="dfhsdfgse">#REF!</definedName>
    <definedName name="dfjndghjdt">#REF!</definedName>
    <definedName name="dflt1">#REF!</definedName>
    <definedName name="dfs" hidden="1">{"'Feb 99'!$A$1:$G$30"}</definedName>
    <definedName name="dfsdgfd">#REF!</definedName>
    <definedName name="dfsfdf">#REF!</definedName>
    <definedName name="dfsff">#REF!</definedName>
    <definedName name="DFWDFW">#REF!</definedName>
    <definedName name="dgfdsgfd">#REF!</definedName>
    <definedName name="dgfg" hidden="1">{#N/A,#N/A,FALSE,"Sheet1"}</definedName>
    <definedName name="dgjdg">#REF!</definedName>
    <definedName name="dgrdgd">#REF!</definedName>
    <definedName name="dgsdgsd">#REF!</definedName>
    <definedName name="dgsg">#REF!</definedName>
    <definedName name="dgsgs">#REF!</definedName>
    <definedName name="DH_opt">#REF!</definedName>
    <definedName name="dhdfhfdj">#REF!</definedName>
    <definedName name="dhdh">#REF!</definedName>
    <definedName name="dhdhd">#REF!</definedName>
    <definedName name="dhdhdh">#REF!</definedName>
    <definedName name="dhdhsw">#REF!</definedName>
    <definedName name="dhfdhdtj">#REF!</definedName>
    <definedName name="dhhdh">#REF!</definedName>
    <definedName name="dhtdhdth">#REF!</definedName>
    <definedName name="DIMVALUE">#REF!</definedName>
    <definedName name="DinvAss">#REF!</definedName>
    <definedName name="DinvAssP">#REF!</definedName>
    <definedName name="DInvQu">#REF!</definedName>
    <definedName name="DInvQuP">#REF!</definedName>
    <definedName name="Dinvsub">#REF!</definedName>
    <definedName name="DinvsubP">#REF!</definedName>
    <definedName name="Dir">#REF!</definedName>
    <definedName name="Directorlist">#REF!</definedName>
    <definedName name="Dirlist">#REF!</definedName>
    <definedName name="Dirlist01">#REF!</definedName>
    <definedName name="Dirlist02">#REF!</definedName>
    <definedName name="Dirlist1">#REF!</definedName>
    <definedName name="Dirlist2">#REF!</definedName>
    <definedName name="DIS">#REF!</definedName>
    <definedName name="DIS_H">#N/A</definedName>
    <definedName name="DISFORMULA">#REF!</definedName>
    <definedName name="DISP">#REF!</definedName>
    <definedName name="DISP1">#N/A</definedName>
    <definedName name="display_area_2">#REF!</definedName>
    <definedName name="Disposal">#REF!</definedName>
    <definedName name="DisposalTotals">#REF!</definedName>
    <definedName name="DisposalTotals1">#REF!</definedName>
    <definedName name="DIV">#REF!</definedName>
    <definedName name="Divpaid">#REF!</definedName>
    <definedName name="DivpaidP">#REF!</definedName>
    <definedName name="djfhjdhje">#REF!</definedName>
    <definedName name="djfjherhjr">#REF!</definedName>
    <definedName name="djhg" hidden="1">{#N/A,#N/A,FALSE,"Sheet1"}</definedName>
    <definedName name="djsadkj">#REF!</definedName>
    <definedName name="docs">#REF!</definedName>
    <definedName name="dole">#REF!</definedName>
    <definedName name="DOthInv">#REF!</definedName>
    <definedName name="DOthInvP">#REF!</definedName>
    <definedName name="DOWN">#REF!</definedName>
    <definedName name="ds">#REF!</definedName>
    <definedName name="dscds">#REF!</definedName>
    <definedName name="dsd">#REF!</definedName>
    <definedName name="dsf" hidden="1">{"'Feb 99'!$A$1:$G$30"}</definedName>
    <definedName name="dsfdff">#REF!</definedName>
    <definedName name="dsfdsf" hidden="1">{#N/A,#N/A,FALSE,"Sheet1"}</definedName>
    <definedName name="dsfdsfds">#REF!</definedName>
    <definedName name="dsfdsgsdfd">#REF!</definedName>
    <definedName name="dsfgfgrd">#REF!</definedName>
    <definedName name="dsfs">#REF!</definedName>
    <definedName name="dsfsdfdsfdsf">#REF!</definedName>
    <definedName name="dsgdsgds">#REF!</definedName>
    <definedName name="dsgfsggrf">#REF!</definedName>
    <definedName name="DSP">#REF!</definedName>
    <definedName name="DSPIMO">#REF!</definedName>
    <definedName name="DSPMO">#REF!</definedName>
    <definedName name="DSPTLMO">#REF!</definedName>
    <definedName name="dssdg">#REF!</definedName>
    <definedName name="dsth">#REF!</definedName>
    <definedName name="dstorey">#REF!</definedName>
    <definedName name="dsvsdfrdsg">#REF!</definedName>
    <definedName name="DT_2__Sch1_List">#REF!</definedName>
    <definedName name="dthtdht">#REF!</definedName>
    <definedName name="dvvsv">#REF!</definedName>
    <definedName name="dw">#REF!</definedName>
    <definedName name="dwd">#REF!</definedName>
    <definedName name="dwe">#REF!</definedName>
    <definedName name="dwedew">#REF!</definedName>
    <definedName name="dwoe">#REF!</definedName>
    <definedName name="dwwww" hidden="1">{#N/A,#N/A,FALSE,"Sheet1"}</definedName>
    <definedName name="dzzgg">#REF!</definedName>
    <definedName name="e" hidden="1">{#N/A,#N/A,FALSE,"FG2540"}</definedName>
    <definedName name="E_Bond1_drawdate">#REF!</definedName>
    <definedName name="E_Bond1_princp">#REF!</definedName>
    <definedName name="E_Bond1_yield">#REF!</definedName>
    <definedName name="E_Bond10_drawdate">#REF!</definedName>
    <definedName name="E_Bond10_princp">#REF!</definedName>
    <definedName name="E_Bond10_yield">#REF!</definedName>
    <definedName name="E_Bond11_drawdate">#REF!</definedName>
    <definedName name="E_Bond11_princp">#REF!</definedName>
    <definedName name="E_Bond11_yield">#REF!</definedName>
    <definedName name="E_Bond12_drawdate">#REF!</definedName>
    <definedName name="E_Bond12_princp">#REF!</definedName>
    <definedName name="E_Bond12_yield">#REF!</definedName>
    <definedName name="E_Bond2_drawdate">#REF!</definedName>
    <definedName name="E_Bond2_princp">#REF!</definedName>
    <definedName name="E_Bond2_yield">#REF!</definedName>
    <definedName name="E_Bond3_drawdate">#REF!</definedName>
    <definedName name="E_Bond3_princp">#REF!</definedName>
    <definedName name="E_Bond3_yield">#REF!</definedName>
    <definedName name="E_Bond4_drawdate">#REF!</definedName>
    <definedName name="E_Bond4_princp">#REF!</definedName>
    <definedName name="E_Bond4_yield">#REF!</definedName>
    <definedName name="E_Bond5_drawdate">#REF!</definedName>
    <definedName name="E_Bond5_princp">#REF!</definedName>
    <definedName name="E_Bond5_yield">#REF!</definedName>
    <definedName name="E_Bond6_drawdate">#REF!</definedName>
    <definedName name="E_Bond6_princp">#REF!</definedName>
    <definedName name="E_Bond6_yield">#REF!</definedName>
    <definedName name="E_Bond7_drawdate">#REF!</definedName>
    <definedName name="E_Bond7_princp">#REF!</definedName>
    <definedName name="E_Bond7_yield">#REF!</definedName>
    <definedName name="E_Bond8_drawdate">#REF!</definedName>
    <definedName name="E_Bond8_princp">#REF!</definedName>
    <definedName name="E_Bond8_yield">#REF!</definedName>
    <definedName name="E_Bond9_drawdate">#REF!</definedName>
    <definedName name="E_Bond9_princp">#REF!</definedName>
    <definedName name="E_Bond9_yield">#REF!</definedName>
    <definedName name="E_Coupon_Table">#REF!</definedName>
    <definedName name="ea">#REF!</definedName>
    <definedName name="earning" hidden="1">{#N/A,#N/A,FALSE,"Aging Summary";#N/A,#N/A,FALSE,"Ratio Analysis";#N/A,#N/A,FALSE,"Test 120 Day Accts";#N/A,#N/A,FALSE,"Tickmarks"}</definedName>
    <definedName name="ecodata">#REF!</definedName>
    <definedName name="ecodate">#REF!</definedName>
    <definedName name="ecomonth">#REF!</definedName>
    <definedName name="ECONOMIC">#REF!</definedName>
    <definedName name="Edit_Area">#REF!</definedName>
    <definedName name="Edit_Comp_1">#REF!</definedName>
    <definedName name="Edit_Comp_2">#REF!</definedName>
    <definedName name="Edit_Title_C1">#REF!</definedName>
    <definedName name="Edit_Title_C2">#REF!</definedName>
    <definedName name="Edit_Title_EA">#REF!</definedName>
    <definedName name="EdRes">#REF!</definedName>
    <definedName name="ee">#REF!</definedName>
    <definedName name="eee">#REF!</definedName>
    <definedName name="eeee" hidden="1">{#N/A,#N/A,FALSE,"Sheet1"}</definedName>
    <definedName name="eeeee" hidden="1">{"'Feb 99'!$A$1:$G$30"}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rfr">#REF!</definedName>
    <definedName name="eesftg">#REF!</definedName>
    <definedName name="efdg">#REF!</definedName>
    <definedName name="efefe">#REF!</definedName>
    <definedName name="efefeee">#REF!</definedName>
    <definedName name="efefefwe">#REF!</definedName>
    <definedName name="efefewrfer">#REF!</definedName>
    <definedName name="efefgewee">#REF!</definedName>
    <definedName name="efewefe\">#REF!</definedName>
    <definedName name="efewfefew">#REF!</definedName>
    <definedName name="egfesge">#REF!</definedName>
    <definedName name="egse">#REF!</definedName>
    <definedName name="egwetrfewt">#REF!</definedName>
    <definedName name="ehege">#REF!</definedName>
    <definedName name="ehehe">#REF!</definedName>
    <definedName name="eherh">#REF!</definedName>
    <definedName name="EHERHE">#REF!</definedName>
    <definedName name="ehetheth">#REF!</definedName>
    <definedName name="ehgrdh">#REF!</definedName>
    <definedName name="ehrfhhsga">#REF!</definedName>
    <definedName name="EHTEJHTR">#REF!</definedName>
    <definedName name="ehtrh">#REF!</definedName>
    <definedName name="elaine">#REF!</definedName>
    <definedName name="Elapsedmonths">12</definedName>
    <definedName name="ELITE_opt">#REF!</definedName>
    <definedName name="ellen">#REF!</definedName>
    <definedName name="EmploymentCost">#REF!</definedName>
    <definedName name="emran">#REF!</definedName>
    <definedName name="End_Bal">#REF!</definedName>
    <definedName name="EndBP">#REF!</definedName>
    <definedName name="ended">"31/12/2000"</definedName>
    <definedName name="Entered_Pmt">#REF!</definedName>
    <definedName name="EP">#REF!</definedName>
    <definedName name="eps" hidden="1">{#N/A,#N/A,FALSE,"Aging Summary";#N/A,#N/A,FALSE,"Ratio Analysis";#N/A,#N/A,FALSE,"Test 120 Day Accts";#N/A,#N/A,FALSE,"Tickmarks"}</definedName>
    <definedName name="EQTQ1R">#REF!</definedName>
    <definedName name="EQUITY">#REF!</definedName>
    <definedName name="eqwtrfewgtrwg">#REF!</definedName>
    <definedName name="ererr" hidden="1">{#N/A,#N/A,FALSE,"Sheet1"}</definedName>
    <definedName name="ergetr">#REF!</definedName>
    <definedName name="ergewgtr">#REF!</definedName>
    <definedName name="ergtgtrg">#REF!</definedName>
    <definedName name="erherhh">#REF!</definedName>
    <definedName name="erhjtejnjmn">#REF!</definedName>
    <definedName name="erhreherh">#REF!</definedName>
    <definedName name="erhtejnyrmj">#REF!</definedName>
    <definedName name="erhtjht">#REF!</definedName>
    <definedName name="errgwr">#REF!</definedName>
    <definedName name="ErrorValue">#REF!</definedName>
    <definedName name="ertet">#REF!</definedName>
    <definedName name="ertjhjtrjheet">#REF!</definedName>
    <definedName name="ertrtr">#REF!</definedName>
    <definedName name="ery3y">#REF!</definedName>
    <definedName name="eryhrh">#REF!</definedName>
    <definedName name="eryw">#REF!</definedName>
    <definedName name="ES">#REF!</definedName>
    <definedName name="esdfvg">#REF!</definedName>
    <definedName name="esgtewgfe">#REF!</definedName>
    <definedName name="estre">#REF!</definedName>
    <definedName name="ethgetge">#REF!</definedName>
    <definedName name="etr">#REF!</definedName>
    <definedName name="ETradeRecei">#REF!</definedName>
    <definedName name="ETradeReceiP">#REF!</definedName>
    <definedName name="ETYETET">#REF!</definedName>
    <definedName name="ew" hidden="1">{#N/A,#N/A,FALSE,"Sheet1"}</definedName>
    <definedName name="ewfewfef">#REF!</definedName>
    <definedName name="ewr">#REF!</definedName>
    <definedName name="EWRHETHTRJ">#REF!</definedName>
    <definedName name="EWTG">#REF!</definedName>
    <definedName name="EWTGE">#REF!</definedName>
    <definedName name="ewtw2tew">#REF!</definedName>
    <definedName name="ex">#REF!</definedName>
    <definedName name="Excel_BuiltIn_Database_0">#REF!</definedName>
    <definedName name="Excel_BuiltIn_Database_12">#REF!</definedName>
    <definedName name="Excel_BuiltIn_Database_14">#REF!</definedName>
    <definedName name="Excel_BuiltIn_Database_3">#REF!</definedName>
    <definedName name="Excel_BuiltIn_Database_5">#REF!</definedName>
    <definedName name="Excel_BuiltIn_Database_6">#REF!</definedName>
    <definedName name="Excel_BuiltIn_Database_8">#REF!</definedName>
    <definedName name="Excel_BuiltIn_Database_9">#REF!</definedName>
    <definedName name="Exchangereser">#REF!</definedName>
    <definedName name="ExchangereserP">#REF!</definedName>
    <definedName name="Exec4">#REF!</definedName>
    <definedName name="exist2">#REF!</definedName>
    <definedName name="Existing">#REF!</definedName>
    <definedName name="ÈXIT">#REF!</definedName>
    <definedName name="EXP">#REF!</definedName>
    <definedName name="Exp_COS">#REF!</definedName>
    <definedName name="Exp_Samp">#REF!</definedName>
    <definedName name="Expensed_Off">#REF!</definedName>
    <definedName name="Exract">#REF!</definedName>
    <definedName name="Extra_Pay">#REF!</definedName>
    <definedName name="extrack">#REF!</definedName>
    <definedName name="_xlnm.Extract">#REF!</definedName>
    <definedName name="Extract1">#REF!</definedName>
    <definedName name="EY" hidden="1">{"'Feb 99'!$A$1:$G$30"}</definedName>
    <definedName name="eyheyhe5">#REF!</definedName>
    <definedName name="eymy" hidden="1">{"'Feb 99'!$A$1:$G$30"}</definedName>
    <definedName name="F">#REF!</definedName>
    <definedName name="F__08a">#REF!</definedName>
    <definedName name="F_02">#REF!</definedName>
    <definedName name="F_08b">#REF!</definedName>
    <definedName name="F_08c">#REF!</definedName>
    <definedName name="F_12">#REF!</definedName>
    <definedName name="F_12Top">#REF!</definedName>
    <definedName name="F_1a">#REF!</definedName>
    <definedName name="F_21">#REF!</definedName>
    <definedName name="F_21a">#REF!</definedName>
    <definedName name="F_3">#REF!</definedName>
    <definedName name="F_3a">#REF!</definedName>
    <definedName name="F_4">#REF!</definedName>
    <definedName name="F_45">#REF!</definedName>
    <definedName name="F_4New">#REF!</definedName>
    <definedName name="F_4sup">#REF!</definedName>
    <definedName name="F_5">#REF!</definedName>
    <definedName name="F_5new">#REF!</definedName>
    <definedName name="F_7a">#REF!</definedName>
    <definedName name="F_8A02">#REF!</definedName>
    <definedName name="F_8C05">#REF!</definedName>
    <definedName name="F_8FSA">#REF!</definedName>
    <definedName name="F_8L30">#REF!</definedName>
    <definedName name="F_8U01">#REF!</definedName>
    <definedName name="F_8U01a">#REF!</definedName>
    <definedName name="F_8U03">#REF!</definedName>
    <definedName name="F_9">#REF!</definedName>
    <definedName name="F_9_Cflow">#REF!</definedName>
    <definedName name="F_9a">#REF!</definedName>
    <definedName name="F_9a1">#REF!</definedName>
    <definedName name="F_9b">#REF!</definedName>
    <definedName name="F_FSA">#REF!</definedName>
    <definedName name="F_RPT">#REF!</definedName>
    <definedName name="F10A" hidden="1">{#N/A,#N/A,FALSE,"Sheet1"}</definedName>
    <definedName name="FA">#REF!</definedName>
    <definedName name="FA96A">#REF!</definedName>
    <definedName name="FA96B">#REF!</definedName>
    <definedName name="FA96C">#REF!</definedName>
    <definedName name="FA96D">#REF!</definedName>
    <definedName name="FA96E">#REF!</definedName>
    <definedName name="FABRIC">#REF!</definedName>
    <definedName name="FACEQUIP">#REF!</definedName>
    <definedName name="FACF_F">#REF!</definedName>
    <definedName name="Faiz" hidden="1">{#N/A,#N/A,FALSE,"Sheet1"}</definedName>
    <definedName name="FAMV1">#REF!</definedName>
    <definedName name="FANotes">#REF!</definedName>
    <definedName name="farah">#REF!</definedName>
    <definedName name="FARM6">#REF!</definedName>
    <definedName name="FAS">#REF!</definedName>
    <definedName name="fasafd">#REF!</definedName>
    <definedName name="fasrfew">#REF!</definedName>
    <definedName name="fddf">#REF!</definedName>
    <definedName name="fdfdz">#REF!</definedName>
    <definedName name="fdg">#REF!</definedName>
    <definedName name="fdgdrhtd">#REF!</definedName>
    <definedName name="fdgtefgrf">#REF!</definedName>
    <definedName name="fdhdfhdh">#REF!</definedName>
    <definedName name="fdhdhdfh">#REF!</definedName>
    <definedName name="fdhfdjdfj">#REF!</definedName>
    <definedName name="fdhndfhngj">#REF!</definedName>
    <definedName name="FDIV">#REF!</definedName>
    <definedName name="fdjdrthd">#REF!</definedName>
    <definedName name="fds">#REF!</definedName>
    <definedName name="fdsfd">#REF!</definedName>
    <definedName name="fe">#REF!</definedName>
    <definedName name="feasf">#REF!</definedName>
    <definedName name="Feb">#REF!</definedName>
    <definedName name="FebRatios">#REF!</definedName>
    <definedName name="fefefewf">#REF!</definedName>
    <definedName name="feffwfe">#REF!</definedName>
    <definedName name="fefwfe">#REF!</definedName>
    <definedName name="ferer">#REF!</definedName>
    <definedName name="ferwgrg">#REF!</definedName>
    <definedName name="fetf">#REF!</definedName>
    <definedName name="few" hidden="1">{#N/A,#N/A,FALSE,"Sheet1"}</definedName>
    <definedName name="ff">#REF!</definedName>
    <definedName name="ff_1">#REF!</definedName>
    <definedName name="FF_10b">#REF!</definedName>
    <definedName name="FF_10c">#REF!</definedName>
    <definedName name="FF_2">#REF!</definedName>
    <definedName name="FF_3">#REF!</definedName>
    <definedName name="FF_3a">#REF!</definedName>
    <definedName name="ff_4">#REF!</definedName>
    <definedName name="ffca">#REF!</definedName>
    <definedName name="ffd">#REF!</definedName>
    <definedName name="ffdd">#REF!</definedName>
    <definedName name="FFE">#REF!</definedName>
    <definedName name="fff">#REF!</definedName>
    <definedName name="fffds">#REF!</definedName>
    <definedName name="ffff">#REF!</definedName>
    <definedName name="ffffdec10">#REF!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ng">#REF!</definedName>
    <definedName name="fg">#REF!</definedName>
    <definedName name="fgdfgdf">#REF!</definedName>
    <definedName name="fgdgfdgfdgfd">#REF!</definedName>
    <definedName name="fgdsgf">#REF!</definedName>
    <definedName name="fggg">#REF!</definedName>
    <definedName name="fgh" hidden="1">{#VALUE!,#N/A,FALSE,0}</definedName>
    <definedName name="fghfghfg">#REF!</definedName>
    <definedName name="fgnfgjnf">#REF!</definedName>
    <definedName name="fgregr">#REF!</definedName>
    <definedName name="fgtrefre">#REF!</definedName>
    <definedName name="fhgfhjf">#REF!</definedName>
    <definedName name="fhjf">#REF!</definedName>
    <definedName name="fhmf">#REF!</definedName>
    <definedName name="fhsfga">#REF!</definedName>
    <definedName name="fi">#REF!</definedName>
    <definedName name="fifty">#REF!</definedName>
    <definedName name="FileName">#REF!</definedName>
    <definedName name="FileName1">#REF!</definedName>
    <definedName name="FINACC">#REF!</definedName>
    <definedName name="Financecost">#REF!</definedName>
    <definedName name="FinancecostP">#REF!</definedName>
    <definedName name="FinancialChg">#REF!</definedName>
    <definedName name="FinancialChg2">#REF!</definedName>
    <definedName name="FinePrint">#REF!</definedName>
    <definedName name="FInv">#REF!</definedName>
    <definedName name="FInvP">#REF!</definedName>
    <definedName name="First_payment_due">#REF!</definedName>
    <definedName name="Fixed_Assets">#REF!</definedName>
    <definedName name="Fixed_Deposits">#REF!</definedName>
    <definedName name="fixedasset">#REF!</definedName>
    <definedName name="fj">#REF!</definedName>
    <definedName name="fjfgjfgtj">#REF!</definedName>
    <definedName name="fjfgtjtfj">#REF!</definedName>
    <definedName name="fjfjfg">#REF!</definedName>
    <definedName name="fjgfjf">#REF!</definedName>
    <definedName name="fjgjrej">#REF!</definedName>
    <definedName name="fjmfgmfg">#REF!</definedName>
    <definedName name="fjmfgtjdtjd">#REF!</definedName>
    <definedName name="fjmjgfm">#REF!</definedName>
    <definedName name="fjnfgjnfg">#REF!</definedName>
    <definedName name="fmhm">#REF!</definedName>
    <definedName name="FmlAA">#REF!</definedName>
    <definedName name="FmlAA1">#REF!</definedName>
    <definedName name="FmlBA">#REF!</definedName>
    <definedName name="FmlBA1">#REF!</definedName>
    <definedName name="FmlBC">#REF!</definedName>
    <definedName name="FmlBC1">#REF!</definedName>
    <definedName name="FmlIA">#REF!</definedName>
    <definedName name="FmlIA1">#REF!</definedName>
    <definedName name="FmlQECF">#REF!</definedName>
    <definedName name="FmlQECF1">#REF!</definedName>
    <definedName name="FmlREAddition">#REF!</definedName>
    <definedName name="FmlREAddition1">#REF!</definedName>
    <definedName name="FmlRECF">#REF!</definedName>
    <definedName name="FmlRECF1">#REF!</definedName>
    <definedName name="FmlREDisposal">#REF!</definedName>
    <definedName name="FmlREDisposal1">#REF!</definedName>
    <definedName name="FmlRETotal">#REF!</definedName>
    <definedName name="FmlRETotal1">#REF!</definedName>
    <definedName name="FMS">#REF!</definedName>
    <definedName name="fnfg">#REF!</definedName>
    <definedName name="form05bdg">#REF!</definedName>
    <definedName name="form05cm">#REF!</definedName>
    <definedName name="form05ytd">#REF!</definedName>
    <definedName name="form05ytdbdg">#REF!</definedName>
    <definedName name="form07acm">#REF!</definedName>
    <definedName name="form07apm">#REF!</definedName>
    <definedName name="form07apy">#REF!</definedName>
    <definedName name="form07bcm">#REF!</definedName>
    <definedName name="form07bpm">#REF!</definedName>
    <definedName name="form07bpy">#REF!</definedName>
    <definedName name="form07ccm">#REF!</definedName>
    <definedName name="form07cm">#REF!</definedName>
    <definedName name="form07cpm">#REF!</definedName>
    <definedName name="form07cpy">#REF!</definedName>
    <definedName name="form07hcm">#REF!</definedName>
    <definedName name="form07hpm">#REF!</definedName>
    <definedName name="form07hpy">#REF!</definedName>
    <definedName name="form07pm">#REF!</definedName>
    <definedName name="form07py">#REF!</definedName>
    <definedName name="form08acm">#REF!</definedName>
    <definedName name="form08apm">#REF!</definedName>
    <definedName name="form08apy">#REF!</definedName>
    <definedName name="form08bcm">#REF!</definedName>
    <definedName name="form08bpm">#REF!</definedName>
    <definedName name="form08bpy">#REF!</definedName>
    <definedName name="form08ccm">#REF!</definedName>
    <definedName name="form08cm">#REF!</definedName>
    <definedName name="form08cpm">#REF!</definedName>
    <definedName name="form08cpy">#REF!</definedName>
    <definedName name="form08hcm">#REF!</definedName>
    <definedName name="form08hpm">#REF!</definedName>
    <definedName name="form08hpy">#REF!</definedName>
    <definedName name="form08pm">#REF!</definedName>
    <definedName name="form08py">#REF!</definedName>
    <definedName name="form11cm">#REF!</definedName>
    <definedName name="form11pm">#REF!</definedName>
    <definedName name="form11py">#REF!</definedName>
    <definedName name="form16abdg">#REF!</definedName>
    <definedName name="form16acm">#REF!</definedName>
    <definedName name="form16aytd">#REF!</definedName>
    <definedName name="form16aytdbdg">#REF!</definedName>
    <definedName name="form16bbdg">#REF!</definedName>
    <definedName name="form16bcm">#REF!</definedName>
    <definedName name="form16bdg">#REF!</definedName>
    <definedName name="form16bytd">#REF!</definedName>
    <definedName name="form16bytdbdg">#REF!</definedName>
    <definedName name="form16cbdg">#REF!</definedName>
    <definedName name="form16ccm">#REF!</definedName>
    <definedName name="form16cm">#REF!</definedName>
    <definedName name="form16cytd">#REF!</definedName>
    <definedName name="form16cytdbdg">#REF!</definedName>
    <definedName name="form16hbdg">#REF!</definedName>
    <definedName name="form16hcm">#REF!</definedName>
    <definedName name="form16hytd">#REF!</definedName>
    <definedName name="form16hytdbdg">#REF!</definedName>
    <definedName name="form16xbdg">#REF!</definedName>
    <definedName name="form16xcm">#REF!</definedName>
    <definedName name="form16xytd">#REF!</definedName>
    <definedName name="form16xytdbdg">#REF!</definedName>
    <definedName name="form16ycm">#REF!</definedName>
    <definedName name="form16ytd">#REF!</definedName>
    <definedName name="form16ytdbdg">#REF!</definedName>
    <definedName name="form16yytd">#REF!</definedName>
    <definedName name="form17abdg">#REF!</definedName>
    <definedName name="form17acm">#REF!</definedName>
    <definedName name="form17aytd">#REF!</definedName>
    <definedName name="form17aytdbdg">#REF!</definedName>
    <definedName name="form17bbdg">#REF!</definedName>
    <definedName name="form17bcm">#REF!</definedName>
    <definedName name="form17bdg">#REF!</definedName>
    <definedName name="form17bytd">#REF!</definedName>
    <definedName name="form17bytdbdg">#REF!</definedName>
    <definedName name="form17cbdg">#REF!</definedName>
    <definedName name="form17ccm">#REF!</definedName>
    <definedName name="form17cm">#REF!</definedName>
    <definedName name="form17cytd">#REF!</definedName>
    <definedName name="form17cytdbdg">#REF!</definedName>
    <definedName name="form17hbdg">#REF!</definedName>
    <definedName name="form17hcm">#REF!</definedName>
    <definedName name="form17hytd">#REF!</definedName>
    <definedName name="form17hytdbdg">#REF!</definedName>
    <definedName name="form17ytd">#REF!</definedName>
    <definedName name="form17ytdbdg">#REF!</definedName>
    <definedName name="form18bdg">#REF!</definedName>
    <definedName name="form18cm">#REF!</definedName>
    <definedName name="form18ytd">#REF!</definedName>
    <definedName name="form18ytdbdg">#REF!</definedName>
    <definedName name="form19bdg">#REF!</definedName>
    <definedName name="form19cm">#REF!</definedName>
    <definedName name="form19ytd">#REF!</definedName>
    <definedName name="form19ytdbdg">#REF!</definedName>
    <definedName name="form20bdg">#REF!</definedName>
    <definedName name="form20cm">#REF!</definedName>
    <definedName name="form20ytd">#REF!</definedName>
    <definedName name="form20ytdbdg">#REF!</definedName>
    <definedName name="form21bdg">#REF!</definedName>
    <definedName name="form21cm">#REF!</definedName>
    <definedName name="form21ytd">#REF!</definedName>
    <definedName name="form21ytdbdg">#REF!</definedName>
    <definedName name="form22bdg">#REF!</definedName>
    <definedName name="form22cm">#REF!</definedName>
    <definedName name="form22ytd">#REF!</definedName>
    <definedName name="form22ytdbdg">#REF!</definedName>
    <definedName name="form23bdg">#REF!</definedName>
    <definedName name="form23cm">#REF!</definedName>
    <definedName name="form23ytd">#REF!</definedName>
    <definedName name="form23ytdbdg">#REF!</definedName>
    <definedName name="form24bdg">#REF!</definedName>
    <definedName name="form24cm">#REF!</definedName>
    <definedName name="form24ytd">#REF!</definedName>
    <definedName name="form24ytdbdg">#REF!</definedName>
    <definedName name="form25bdg">#REF!</definedName>
    <definedName name="form25cm">#REF!</definedName>
    <definedName name="form25ytd">#REF!</definedName>
    <definedName name="form25ytdbdg">#REF!</definedName>
    <definedName name="form26bdg">#REF!</definedName>
    <definedName name="form26cm">#REF!</definedName>
    <definedName name="form26ytd">#REF!</definedName>
    <definedName name="form26ytdbdg">#REF!</definedName>
    <definedName name="form27cm">#REF!</definedName>
    <definedName name="form27ytd">#REF!</definedName>
    <definedName name="form28cmcomm">#REF!</definedName>
    <definedName name="form28cmdiv">#REF!</definedName>
    <definedName name="form28cmint">#REF!</definedName>
    <definedName name="form28cmmf">#REF!</definedName>
    <definedName name="form28cmrental">#REF!</definedName>
    <definedName name="form28cmsg">#REF!</definedName>
    <definedName name="form28cmsr">#REF!</definedName>
    <definedName name="form28ytdcomm">#REF!</definedName>
    <definedName name="form28ytddiv">#REF!</definedName>
    <definedName name="form28ytdint">#REF!</definedName>
    <definedName name="form28ytdmf">#REF!</definedName>
    <definedName name="form28ytdrental">#REF!</definedName>
    <definedName name="form28ytdsg">#REF!</definedName>
    <definedName name="form28ytdsr">#REF!</definedName>
    <definedName name="form31">#REF!</definedName>
    <definedName name="form32bdg">#REF!</definedName>
    <definedName name="form32cm">#REF!</definedName>
    <definedName name="form32ytd">#REF!</definedName>
    <definedName name="form32ytdbdg">#REF!</definedName>
    <definedName name="Format">#REF!</definedName>
    <definedName name="FORWARD">#N/A</definedName>
    <definedName name="FPL">#REF!</definedName>
    <definedName name="frewff">#REF!</definedName>
    <definedName name="frewfregf">#REF!</definedName>
    <definedName name="frfrerer">#REF!</definedName>
    <definedName name="FRP">#REF!</definedName>
    <definedName name="fsd" hidden="1">{#VALUE!,#N/A,FALSE,0}</definedName>
    <definedName name="fsfdgsdg">#REF!</definedName>
    <definedName name="fshhfhdg">#REF!</definedName>
    <definedName name="FSL">#REF!</definedName>
    <definedName name="FTAX">#REF!</definedName>
    <definedName name="ftggg">#REF!</definedName>
    <definedName name="ftjfgtjm">#REF!</definedName>
    <definedName name="FTO">#REF!</definedName>
    <definedName name="Full_Print">#REF!</definedName>
    <definedName name="fvfdgdfvf">"TOA Paint (Malaysia) Sdn Bhd"</definedName>
    <definedName name="fvff">#REF!</definedName>
    <definedName name="FX">#REF!</definedName>
    <definedName name="FYHJJHKLJ">#REF!</definedName>
    <definedName name="G">#REF!</definedName>
    <definedName name="gaee" hidden="1">{#N/A,#N/A,FALSE,"Sheet1"}</definedName>
    <definedName name="Gain_loss_on_disposal">#REF!</definedName>
    <definedName name="GCC">#REF!</definedName>
    <definedName name="gdfdf" hidden="1">{#N/A,#N/A,FALSE,"Sheet1"}</definedName>
    <definedName name="gdffdfd">#REF!</definedName>
    <definedName name="gdhdgh">#REF!</definedName>
    <definedName name="gdvdsv">#REF!</definedName>
    <definedName name="geawer">#REF!</definedName>
    <definedName name="geer" hidden="1">{#N/A,#N/A,FALSE,"Sheet1"}</definedName>
    <definedName name="gegew">#REF!</definedName>
    <definedName name="ger">#REF!</definedName>
    <definedName name="gere">#REF!</definedName>
    <definedName name="geree">#REF!</definedName>
    <definedName name="gerer">#REF!</definedName>
    <definedName name="gerere">#REF!</definedName>
    <definedName name="gerh">#REF!</definedName>
    <definedName name="gerherher">#REF!</definedName>
    <definedName name="gerre">#REF!</definedName>
    <definedName name="gf">#REF!</definedName>
    <definedName name="gffg">#REF!</definedName>
    <definedName name="GFHJ">#REF!</definedName>
    <definedName name="gfnfgmngfnf">#REF!</definedName>
    <definedName name="gfngfgn">#REF!</definedName>
    <definedName name="gfrgregr">#REF!</definedName>
    <definedName name="gg">#REF!</definedName>
    <definedName name="gg___0">#REF!</definedName>
    <definedName name="gg___12">#REF!</definedName>
    <definedName name="gg___14">#REF!</definedName>
    <definedName name="gg___3">#REF!</definedName>
    <definedName name="gg___5">#REF!</definedName>
    <definedName name="gg___6">#REF!</definedName>
    <definedName name="gg___8">#REF!</definedName>
    <definedName name="ggg">#REF!</definedName>
    <definedName name="gggg" hidden="1">{#N/A,#N/A,FALSE,"Sheet1"}</definedName>
    <definedName name="ggggg">#REF!</definedName>
    <definedName name="ggggggg">#REF!</definedName>
    <definedName name="gggggggggg" hidden="1">{#N/A,#N/A,FALSE,"Sheet1"}</definedName>
    <definedName name="gggggggggggggggggggggg" hidden="1">{#N/A,#N/A,FALSE,"Sheet1"}</definedName>
    <definedName name="gggt">#REF!</definedName>
    <definedName name="gh">#REF!</definedName>
    <definedName name="ghanesh" hidden="1">#REF!</definedName>
    <definedName name="ghj">#REF!</definedName>
    <definedName name="ghjk">#REF!</definedName>
    <definedName name="ghngfngfnm">#REF!</definedName>
    <definedName name="GIG" hidden="1">{#N/A,#N/A,FALSE,"Sheet1"}</definedName>
    <definedName name="gj">#REF!</definedName>
    <definedName name="gj___0">#REF!</definedName>
    <definedName name="gj___12">#REF!</definedName>
    <definedName name="gj___14">#REF!</definedName>
    <definedName name="gj___3">#REF!</definedName>
    <definedName name="gj___5">#REF!</definedName>
    <definedName name="gj___6">#REF!</definedName>
    <definedName name="gj___8">#REF!</definedName>
    <definedName name="gjntrjt">#REF!</definedName>
    <definedName name="gl">#REF!</definedName>
    <definedName name="GMR_2">#REF!</definedName>
    <definedName name="Go">#REF!</definedName>
    <definedName name="GoAssetChart">#REF!</definedName>
    <definedName name="GoBack">#REF!</definedName>
    <definedName name="GoBalanceSheet">#REF!</definedName>
    <definedName name="GoCashFlow">#REF!</definedName>
    <definedName name="GoData">#REF!</definedName>
    <definedName name="gogogo">#REF!</definedName>
    <definedName name="GoIncomeChart">#REF!</definedName>
    <definedName name="GOP" hidden="1">{#N/A,#N/A,FALSE,"Sheet1"}</definedName>
    <definedName name="GOT" hidden="1">{#N/A,#N/A,FALSE,"Sheet1"}</definedName>
    <definedName name="GOtherRecei">#REF!</definedName>
    <definedName name="GOtherReceiP">#REF!</definedName>
    <definedName name="GQ131_with_Name">#REF!</definedName>
    <definedName name="gr">#REF!</definedName>
    <definedName name="gre">#REF!</definedName>
    <definedName name="gregregreg">#REF!</definedName>
    <definedName name="grgregfre">#REF!</definedName>
    <definedName name="grgrger">#REF!</definedName>
    <definedName name="grhtea">#REF!</definedName>
    <definedName name="GROUP">#REF!</definedName>
    <definedName name="GRP">#REF!</definedName>
    <definedName name="grsgt">#REF!</definedName>
    <definedName name="gsgsg">#REF!</definedName>
    <definedName name="gtgt">#REF!</definedName>
    <definedName name="gtrfr">#REF!</definedName>
    <definedName name="gtshdfjg">#REF!</definedName>
    <definedName name="gwrgwrg">#REF!</definedName>
    <definedName name="h">#REF!</definedName>
    <definedName name="H_LINE1">#REF!</definedName>
    <definedName name="H_LINE2">#REF!</definedName>
    <definedName name="H_LINE3">#REF!</definedName>
    <definedName name="H_LINE4">#REF!</definedName>
    <definedName name="H_LINE5">#REF!</definedName>
    <definedName name="H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haer">#REF!</definedName>
    <definedName name="hahahaha" hidden="1">{#N/A,#N/A,FALSE,"Sheet1"}</definedName>
    <definedName name="haksh">#REF!</definedName>
    <definedName name="hbk" hidden="1">#REF!</definedName>
    <definedName name="HcoCurrentYear">#REF!</definedName>
    <definedName name="HDepBank">#REF!</definedName>
    <definedName name="HDepBankP">#REF!</definedName>
    <definedName name="hdh">#REF!</definedName>
    <definedName name="hdrtuyduj">#REF!</definedName>
    <definedName name="Head_Amount">#REF!</definedName>
    <definedName name="Head_Company">#REF!</definedName>
    <definedName name="Head_Country">#REF!</definedName>
    <definedName name="Head_Period">#REF!</definedName>
    <definedName name="Head_Schedule_No">#REF!</definedName>
    <definedName name="Head_Title">#REF!</definedName>
    <definedName name="Head_Valid">#REF!</definedName>
    <definedName name="Head_Version">#REF!</definedName>
    <definedName name="Header_Row">ROW(#REF!)</definedName>
    <definedName name="heading">#REF!</definedName>
    <definedName name="heading1">#REF!</definedName>
    <definedName name="headng">#N/A</definedName>
    <definedName name="heare" hidden="1">{#N/A,#N/A,FALSE,"Sheet1"}</definedName>
    <definedName name="help">#REF!</definedName>
    <definedName name="herer">#REF!</definedName>
    <definedName name="HERHF">#REF!</definedName>
    <definedName name="hfthdh">#REF!</definedName>
    <definedName name="hg" hidden="1">{#N/A,#N/A,FALSE,"Sheet1"}</definedName>
    <definedName name="hgdjdhu">#REF!</definedName>
    <definedName name="hgfhfhgf">#REF!</definedName>
    <definedName name="hgfhfs">#REF!</definedName>
    <definedName name="hgregref">#REF!</definedName>
    <definedName name="hh">#REF!</definedName>
    <definedName name="HH.2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hhdfh">#REF!</definedName>
    <definedName name="HHH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hhhh">#REF!</definedName>
    <definedName name="hhhhh">#REF!</definedName>
    <definedName name="hhhhhh" hidden="1">{#N/A,#N/A,FALSE,"Sheet1"}</definedName>
    <definedName name="hhhhhhhhhhhhhhhhhhhhhhhh" hidden="1">{#N/A,#N/A,FALSE,"Sheet1"}</definedName>
    <definedName name="hhjjjj">#REF!</definedName>
    <definedName name="hhth">#REF!</definedName>
    <definedName name="hhy">#REF!</definedName>
    <definedName name="hhyyh">#REF!</definedName>
    <definedName name="HIGHLIGHT">#REF!</definedName>
    <definedName name="hijkhnijk">#REF!</definedName>
    <definedName name="HIP" hidden="1">{#N/A,#N/A,FALSE,"Sheet1"}</definedName>
    <definedName name="Hire_Purchase_and_Lease_Creditors_Schedule_and_Interest__in_suspense_schedule">#REF!</definedName>
    <definedName name="HJ" hidden="1">#REF!</definedName>
    <definedName name="hjdhs">#REF!</definedName>
    <definedName name="hjjhjh">#REF!</definedName>
    <definedName name="hkghkghk">#REF!</definedName>
    <definedName name="hkhkj" hidden="1">#REF!</definedName>
    <definedName name="ho">#REF!</definedName>
    <definedName name="hoj">#REF!</definedName>
    <definedName name="hoow">#REF!</definedName>
    <definedName name="HOP" hidden="1">{#N/A,#N/A,FALSE,"Sheet1"}</definedName>
    <definedName name="HP">#REF!</definedName>
    <definedName name="hrrt" hidden="1">{#N/A,#N/A,FALSE,"Sheet1"}</definedName>
    <definedName name="hrtr">#REF!</definedName>
    <definedName name="hsgsg">#REF!</definedName>
    <definedName name="HSHHADA" hidden="1">{#N/A,#N/A,FALSE,"Sheet1"}</definedName>
    <definedName name="htht">#REF!</definedName>
    <definedName name="HTML_CodePage" hidden="1">1252</definedName>
    <definedName name="HTML_Control" hidden="1">{"'Feb 99'!$A$1:$G$30"}</definedName>
    <definedName name="HTML_Description" hidden="1">""</definedName>
    <definedName name="HTML_Email" hidden="1">""</definedName>
    <definedName name="HTML_Header" hidden="1">"Feb 99"</definedName>
    <definedName name="HTML_LastUpdate" hidden="1">"06/Apr/99"</definedName>
    <definedName name="HTML_LineAfter" hidden="1">FALSE</definedName>
    <definedName name="HTML_LineBefore" hidden="1">FALSE</definedName>
    <definedName name="HTML_Name" hidden="1">"DBMI"</definedName>
    <definedName name="HTML_OBDlg2" hidden="1">TRUE</definedName>
    <definedName name="HTML_OBDlg4" hidden="1">TRUE</definedName>
    <definedName name="HTML_OS" hidden="1">0</definedName>
    <definedName name="HTML_PathFile" hidden="1">"C:\Ali\Excel\BAAN\STOCK\MyHTML.htm"</definedName>
    <definedName name="HTML_Title" hidden="1">"4PAST_P"</definedName>
    <definedName name="htrhjy">#REF!</definedName>
    <definedName name="HTRHRT">#REF!</definedName>
    <definedName name="htrrewqhr">#REF!</definedName>
    <definedName name="HUHUHUH" hidden="1">{#N/A,#N/A,FALSE,"Sheet1"}</definedName>
    <definedName name="huigydr">#REF!</definedName>
    <definedName name="huu">#REF!</definedName>
    <definedName name="hvhvh">#REF!</definedName>
    <definedName name="Hyperion_code">#REF!</definedName>
    <definedName name="i">#REF!</definedName>
    <definedName name="IA">#REF!</definedName>
    <definedName name="IAClaim">#REF!</definedName>
    <definedName name="IAClaim1">#REF!</definedName>
    <definedName name="iasf">#REF!</definedName>
    <definedName name="IAsso1">#REF!</definedName>
    <definedName name="IDuefrHol">#REF!</definedName>
    <definedName name="IDuefrHolP">#REF!</definedName>
    <definedName name="IDuefrRelated">#REF!</definedName>
    <definedName name="IDuefrRelatedP">#REF!</definedName>
    <definedName name="IDuefrSub">#REF!</definedName>
    <definedName name="IDuefrSubP">#REF!</definedName>
    <definedName name="IDueToHold">#REF!</definedName>
    <definedName name="IDueToHoldP">#REF!</definedName>
    <definedName name="IDueToRelated">#REF!</definedName>
    <definedName name="IDueToSub">#REF!</definedName>
    <definedName name="IDueToSubP">#REF!</definedName>
    <definedName name="ifdsmngs\">#REF!</definedName>
    <definedName name="Ii">#REF!</definedName>
    <definedName name="iii" hidden="1">{#N/A,#N/A,FALSE,"Sheet1"}</definedName>
    <definedName name="iiiiii">#REF!</definedName>
    <definedName name="iiiiiiiiiiiiii" hidden="1">{#N/A,#N/A,FALSE,"Sheet1"}</definedName>
    <definedName name="ijn">#REF!</definedName>
    <definedName name="ik">#REF!</definedName>
    <definedName name="ik8y6">#REF!</definedName>
    <definedName name="ikram">#REF!</definedName>
    <definedName name="ImportData">#REF!</definedName>
    <definedName name="in">#REF!</definedName>
    <definedName name="Incometax">#REF!</definedName>
    <definedName name="IncometaxP">#REF!</definedName>
    <definedName name="indYavg">#REF!</definedName>
    <definedName name="infra">#REF!</definedName>
    <definedName name="INITIAL_ALLOWAN">#REF!</definedName>
    <definedName name="initial_dep">0.2</definedName>
    <definedName name="input">#REF!</definedName>
    <definedName name="INPUTGRID">#REF!</definedName>
    <definedName name="ins">#REF!</definedName>
    <definedName name="INSERT">#N/A</definedName>
    <definedName name="InsertCASum">#REF!</definedName>
    <definedName name="Instl">#REF!</definedName>
    <definedName name="Insurance" hidden="1">{#N/A,#N/A,FALSE,"Sheet1"}</definedName>
    <definedName name="Int">#REF!</definedName>
    <definedName name="int_exp_00">#REF!</definedName>
    <definedName name="int_exp_01">#REF!</definedName>
    <definedName name="int_exp_01a">#REF!</definedName>
    <definedName name="int_exp_02">#REF!</definedName>
    <definedName name="int_exp_03">#REF!</definedName>
    <definedName name="int_exp_04">#REF!</definedName>
    <definedName name="int_rate_on_cust_deposits">#REF!</definedName>
    <definedName name="INT.EXP">#REF!</definedName>
    <definedName name="intangible_assets">#REF!</definedName>
    <definedName name="Intangibles_value">#REF!</definedName>
    <definedName name="INTER_CO">#N/A</definedName>
    <definedName name="Inter_co_interest_UML">#REF!</definedName>
    <definedName name="Inter_co_interest_UML2">#REF!</definedName>
    <definedName name="Inter_co_management_fees">#REF!</definedName>
    <definedName name="Inter_co_management_fees2">#REF!</definedName>
    <definedName name="interco_int_01">#REF!</definedName>
    <definedName name="interco_int_02">#REF!</definedName>
    <definedName name="interco_int_03">#REF!</definedName>
    <definedName name="interco_int_04">#REF!</definedName>
    <definedName name="Interco_int00">#REF!</definedName>
    <definedName name="Interest">#REF!</definedName>
    <definedName name="Interest_capitalised">#REF!</definedName>
    <definedName name="INTEREST_EARNED_ON_LOANS_ADVANCES">#REF!</definedName>
    <definedName name="INTEREST_PAID_ON_DEPOSITS">#REF!</definedName>
    <definedName name="Interest_Payable">#REF!</definedName>
    <definedName name="Interest_Rate">#REF!</definedName>
    <definedName name="INTEREST_SUSPENDED_ON_NPL">#REF!</definedName>
    <definedName name="InterestDetail">#REF!</definedName>
    <definedName name="Interst">#REF!</definedName>
    <definedName name="INTRES">#REF!</definedName>
    <definedName name="INTREST">#REF!</definedName>
    <definedName name="Investment">#REF!</definedName>
    <definedName name="Investment_1">#REF!</definedName>
    <definedName name="Investments">#REF!</definedName>
    <definedName name="INVESTMENTSUB">#REF!</definedName>
    <definedName name="iop">#REF!</definedName>
    <definedName name="ipoj">#REF!</definedName>
    <definedName name="iputgrid">#REF!</definedName>
    <definedName name="issues">#REF!</definedName>
    <definedName name="Ist">#REF!</definedName>
    <definedName name="it6ty">#REF!</definedName>
    <definedName name="ity" hidden="1">{#N/A,#N/A,FALSE,"Sheet1"}</definedName>
    <definedName name="J" hidden="1">#REF!</definedName>
    <definedName name="J_102">#REF!</definedName>
    <definedName name="J_2000">#REF!</definedName>
    <definedName name="J_2001">#REF!</definedName>
    <definedName name="J_2002">#REF!</definedName>
    <definedName name="J_2003">#REF!</definedName>
    <definedName name="J_70">#REF!</definedName>
    <definedName name="J_71">#REF!</definedName>
    <definedName name="J_72">#REF!</definedName>
    <definedName name="J_73">#REF!</definedName>
    <definedName name="jakjhajrlhya" hidden="1">{#N/A,#N/A,FALSE,"Sheet1"}</definedName>
    <definedName name="Jan">#REF!</definedName>
    <definedName name="JanRatios">#REF!</definedName>
    <definedName name="Jas" hidden="1">{"'Feb 99'!$A$1:$G$30"}</definedName>
    <definedName name="jasmine" hidden="1">{"'Feb 99'!$A$1:$G$30"}</definedName>
    <definedName name="JBFA98">#REF!</definedName>
    <definedName name="jcz">#REF!</definedName>
    <definedName name="jftjfj">#REF!</definedName>
    <definedName name="jg">#REF!</definedName>
    <definedName name="jg___0">#REF!</definedName>
    <definedName name="jg___12">#REF!</definedName>
    <definedName name="jg___14">#REF!</definedName>
    <definedName name="jg___3">#REF!</definedName>
    <definedName name="jg___5">#REF!</definedName>
    <definedName name="jg___6">#REF!</definedName>
    <definedName name="jg___8">#REF!</definedName>
    <definedName name="jgj">#REF!</definedName>
    <definedName name="jik">#REF!</definedName>
    <definedName name="jio">#REF!</definedName>
    <definedName name="jioui">#REF!</definedName>
    <definedName name="jj">#REF!</definedName>
    <definedName name="jj___0">#REF!</definedName>
    <definedName name="jj___12">#REF!</definedName>
    <definedName name="jj___14">#REF!</definedName>
    <definedName name="jj___3">#REF!</definedName>
    <definedName name="jj___5">#REF!</definedName>
    <definedName name="jj___6">#REF!</definedName>
    <definedName name="jj___8">#REF!</definedName>
    <definedName name="jjj" hidden="1">{#N/A,#N/A,FALSE,"Sheet1"}</definedName>
    <definedName name="jjjjjj">#REF!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j" hidden="1">{#VALUE!,#N/A,FALSE,0}</definedName>
    <definedName name="jk">#REF!</definedName>
    <definedName name="jkcvls">#REF!</definedName>
    <definedName name="jl">#REF!</definedName>
    <definedName name="jlkd">#REF!</definedName>
    <definedName name="JngjRENgre" hidden="1">{#N/A,#N/A,FALSE,"Sheet1"}</definedName>
    <definedName name="jo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joe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jrrjrtj">#REF!</definedName>
    <definedName name="jrtr" hidden="1">{#N/A,#N/A,FALSE,"Sheet1"}</definedName>
    <definedName name="jrtrtt">#REF!</definedName>
    <definedName name="jskljd">#REF!,#REF!</definedName>
    <definedName name="jtehwr">#REF!</definedName>
    <definedName name="jtjryjytj">#REF!</definedName>
    <definedName name="jtrjtjrjrj">#REF!</definedName>
    <definedName name="jttrjrtj">#REF!</definedName>
    <definedName name="jttrt" hidden="1">{#N/A,#N/A,FALSE,"Sheet1"}</definedName>
    <definedName name="Jul">#REF!</definedName>
    <definedName name="JulRatios">#REF!</definedName>
    <definedName name="july">#REF!</definedName>
    <definedName name="Jun">#REF!</definedName>
    <definedName name="JUNE">#REF!</definedName>
    <definedName name="JunRatios">#REF!</definedName>
    <definedName name="JV06_01">#REF!</definedName>
    <definedName name="JV06_012">#REF!</definedName>
    <definedName name="jvsk">#REF!</definedName>
    <definedName name="jyjet">#REF!</definedName>
    <definedName name="jyjj">#REF!</definedName>
    <definedName name="jyjk7">#REF!</definedName>
    <definedName name="jyjyjyj">#REF!</definedName>
    <definedName name="K">#REF!</definedName>
    <definedName name="K2a" hidden="1">{#N/A,#N/A,FALSE,"Sheet1"}</definedName>
    <definedName name="Ka">#REF!</definedName>
    <definedName name="KAA" hidden="1">{#N/A,#N/A,FALSE,"Sheet1"}</definedName>
    <definedName name="KAi" hidden="1">{#N/A,#N/A,FALSE,"Sheet1"}</definedName>
    <definedName name="kakaka">#REF!</definedName>
    <definedName name="KB" hidden="1">{#N/A,#N/A,FALSE,"Sheet1"}</definedName>
    <definedName name="KBCC">#REF!</definedName>
    <definedName name="KBSC">#REF!</definedName>
    <definedName name="KBY1PL">#REF!</definedName>
    <definedName name="KBY2PL">#REF!</definedName>
    <definedName name="KBY3PL">#REF!</definedName>
    <definedName name="KC" hidden="1">{#N/A,#N/A,FALSE,"Sheet1"}</definedName>
    <definedName name="KCC">#REF!</definedName>
    <definedName name="KDPL">#REF!</definedName>
    <definedName name="kghk">#REF!</definedName>
    <definedName name="khl">#REF!</definedName>
    <definedName name="khor">#REF!</definedName>
    <definedName name="ki" hidden="1">{#N/A,#N/A,FALSE,"Sheet1"}</definedName>
    <definedName name="KICK" hidden="1">{#N/A,#N/A,FALSE,"Sheet1"}</definedName>
    <definedName name="kiyklyillyur">#REF!</definedName>
    <definedName name="kj">#REF!</definedName>
    <definedName name="kjlkj" hidden="1">{#N/A,#N/A,FALSE,"Sheet1"}</definedName>
    <definedName name="kk">#REF!</definedName>
    <definedName name="KKA" hidden="1">{#N/A,#N/A,FALSE,"Sheet1"}</definedName>
    <definedName name="kkk" hidden="1">{#N/A,#N/A,FALSE,"FG2540"}</definedName>
    <definedName name="kkkk">#REF!</definedName>
    <definedName name="kkkkkkkkkkkkkkkkkkk">#REF!</definedName>
    <definedName name="kkkkkkkkkkkkkkkkkkkkkkkkkk" hidden="1">{#N/A,#N/A,FALSE,"Sheet1"}</definedName>
    <definedName name="kkzc" hidden="1">{#N/A,#N/A,FALSE,"Sheet1"}</definedName>
    <definedName name="kl">#REF!</definedName>
    <definedName name="KLP" hidden="1">{#N/A,#N/A,FALSE,"Sheet1"}</definedName>
    <definedName name="KLSE">#REF!</definedName>
    <definedName name="kmghkfjd">#REF!</definedName>
    <definedName name="KO" hidden="1">{#N/A,#N/A,FALSE,"Sheet1"}</definedName>
    <definedName name="KOS_PENGILANGAN">#REF!</definedName>
    <definedName name="KPPP" hidden="1">{#N/A,#N/A,FALSE,"Sheet1"}</definedName>
    <definedName name="Kproperty">#REF!</definedName>
    <definedName name="KpropertyP">#REF!</definedName>
    <definedName name="ktkrywyw">#REF!</definedName>
    <definedName name="ktyty">AND(ISNUMBER(#REF!),ISNUMBER(#REF!),ISNUMBER(#REF!),ISNUMBER(#REF!))</definedName>
    <definedName name="Kulitnya">#REF!</definedName>
    <definedName name="Kx" hidden="1">{#N/A,#N/A,FALSE,"Sheet1"}</definedName>
    <definedName name="L">#REF!</definedName>
    <definedName name="L_1">#REF!</definedName>
    <definedName name="L_otherdebtors">#REF!</definedName>
    <definedName name="la">#REF!</definedName>
    <definedName name="LABELS">#REF!</definedName>
    <definedName name="Lain">#REF!</definedName>
    <definedName name="LAIN_LAIN_PENDAPATAN">#REF!</definedName>
    <definedName name="lala" hidden="1">{#N/A,#N/A,FALSE,"NP1";#N/A,#N/A,FALSE,"NPL1";#N/A,#N/A,FALSE,"CJENPL1";#N/A,#N/A,FALSE,"CPPBS1";#N/A,#N/A,FALSE,"CPPPL1";#N/A,#N/A,FALSE,"CPCJE1";#N/A,#N/A,FALSE,"IMBS1";#N/A,#N/A,FALSE,"IMPL1";#N/A,#N/A,FALSE,"IMADJ1";#N/A,#N/A,FALSE,"CPDBS1";#N/A,#N/A,FALSE,"CPDPL1";#N/A,#N/A,FALSE,"CPDADJ1"}</definedName>
    <definedName name="LALI">#REF!</definedName>
    <definedName name="lam">#REF!</definedName>
    <definedName name="Landcost">#REF!</definedName>
    <definedName name="las">#REF!</definedName>
    <definedName name="Last_Row">IF(#REF!,Header_Row+#REF!,Header_Row)</definedName>
    <definedName name="LASTCOLUMNCELL">#REF!</definedName>
    <definedName name="LASTMTH">#REF!</definedName>
    <definedName name="LASTMTHW">#REF!</definedName>
    <definedName name="lastYE">#REF!</definedName>
    <definedName name="LASTYEAR">#REF!</definedName>
    <definedName name="LBICapital">#REF!</definedName>
    <definedName name="lcash">#REF!</definedName>
    <definedName name="LD">#REF!</definedName>
    <definedName name="LDepcost">#REF!</definedName>
    <definedName name="LDepcostP">#REF!</definedName>
    <definedName name="lead">#REF!</definedName>
    <definedName name="LeadPL">#REF!</definedName>
    <definedName name="lee">#REF!</definedName>
    <definedName name="Leo_Ku">#REF!</definedName>
    <definedName name="leokoo">#REF!</definedName>
    <definedName name="leoku">#REF!</definedName>
    <definedName name="level99">#REF!</definedName>
    <definedName name="LGoodwill">#REF!</definedName>
    <definedName name="LGoodwillP">#REF!</definedName>
    <definedName name="LHL">#N/A</definedName>
    <definedName name="LHPL">#REF!</definedName>
    <definedName name="LHPLP">#REF!</definedName>
    <definedName name="liana">#REF!</definedName>
    <definedName name="Library">#REF!</definedName>
    <definedName name="Library1">#REF!</definedName>
    <definedName name="LIbrary2">#REF!</definedName>
    <definedName name="lidhalsfdhe.f" hidden="1">{"'Feb 99'!$A$1:$G$30"}</definedName>
    <definedName name="LIEW">#REF!</definedName>
    <definedName name="LIK" hidden="1">{#N/A,#N/A,FALSE,"Sheet1"}</definedName>
    <definedName name="Lintangible">#REF!</definedName>
    <definedName name="LintangibleP">#REF!</definedName>
    <definedName name="LInvProp">#REF!</definedName>
    <definedName name="LInvPropP">#REF!</definedName>
    <definedName name="List_Curr">#REF!</definedName>
    <definedName name="List_Level_Assr">#REF!</definedName>
    <definedName name="List_Proj_Meth">#REF!</definedName>
    <definedName name="List_Samp_Sel">#REF!</definedName>
    <definedName name="ljlhlhl" hidden="1">{#N/A,#N/A,FALSE,"Sheet1"}</definedName>
    <definedName name="LK">#REF!</definedName>
    <definedName name="lkj" hidden="1">#REF!</definedName>
    <definedName name="LL">#REF!</definedName>
    <definedName name="llaaoo">#REF!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lpp">#REF!</definedName>
    <definedName name="Loan_Amount">#REF!</definedName>
    <definedName name="Loan_Start">#REF!</definedName>
    <definedName name="Loan_Years">#REF!</definedName>
    <definedName name="LOANS_AND_ADVANCES_NPLs">#REF!</definedName>
    <definedName name="LOANS_AND_ADVANCES_PLs">#REF!</definedName>
    <definedName name="LOANS_AND_ADVANCES_TOTAL">#REF!</definedName>
    <definedName name="loc">#REF!</definedName>
    <definedName name="LOD">#REF!</definedName>
    <definedName name="lohh">#REF!</definedName>
    <definedName name="LOKE" hidden="1">{#N/A,#N/A,FALSE,"Sheet1"}</definedName>
    <definedName name="Long_term_loan">#REF!</definedName>
    <definedName name="LOP" hidden="1">{#N/A,#N/A,FALSE,"Sheet1"}</definedName>
    <definedName name="lowcost">#REF!</definedName>
    <definedName name="lpat">#REF!</definedName>
    <definedName name="lpbt">#REF!</definedName>
    <definedName name="LSY" hidden="1">{#N/A,#N/A,FALSE,"FG2540"}</definedName>
    <definedName name="Ltermloan">#REF!</definedName>
    <definedName name="LtermloanP">#REF!</definedName>
    <definedName name="LTHP">#REF!</definedName>
    <definedName name="LTloan">#REF!</definedName>
    <definedName name="LUCK" hidden="1">{#N/A,#N/A,FALSE,"Sheet1"}</definedName>
    <definedName name="LY">#REF!</definedName>
    <definedName name="LYCY">#REF!</definedName>
    <definedName name="LYTD">#REF!</definedName>
    <definedName name="m">#REF!</definedName>
    <definedName name="M_1">#REF!</definedName>
    <definedName name="M_2">#REF!</definedName>
    <definedName name="M_2_2">#REF!</definedName>
    <definedName name="M_interco">#REF!</definedName>
    <definedName name="M_P">#REF!</definedName>
    <definedName name="M_Q">#REF!</definedName>
    <definedName name="M_R">#REF!</definedName>
    <definedName name="MACRO">#REF!</definedName>
    <definedName name="MACROS">#REF!</definedName>
    <definedName name="magna">#REF!</definedName>
    <definedName name="main_schedule">#REF!</definedName>
    <definedName name="MAINMENU">#N/A</definedName>
    <definedName name="MAINTENANCE">#REF!</definedName>
    <definedName name="MAMA" hidden="1">{"'Feb 99'!$A$1:$G$30"}</definedName>
    <definedName name="MAN">#REF!</definedName>
    <definedName name="Manager_Initials">#REF!</definedName>
    <definedName name="maple">#REF!</definedName>
    <definedName name="Mar">#REF!</definedName>
    <definedName name="Mark_Up">#REF!</definedName>
    <definedName name="Marketing">#REF!</definedName>
    <definedName name="MarRatios">#REF!</definedName>
    <definedName name="matthew" hidden="1">{"'Feb 99'!$A$1:$G$30"}</definedName>
    <definedName name="May">#REF!</definedName>
    <definedName name="MayRatios">#REF!</definedName>
    <definedName name="MBB">#REF!</definedName>
    <definedName name="MBf_INTERNATIONAL_FINANCE__LIMITED">#REF!</definedName>
    <definedName name="MC">#REF!</definedName>
    <definedName name="Mduration">#REF!</definedName>
    <definedName name="MECHANISM">#REF!</definedName>
    <definedName name="medcost">#REF!</definedName>
    <definedName name="mediumcost">#REF!</definedName>
    <definedName name="memo1">#REF!</definedName>
    <definedName name="memo2">#REF!</definedName>
    <definedName name="MENU">#REF!</definedName>
    <definedName name="MenuFileNumber">#REF!</definedName>
    <definedName name="mg">#REF!</definedName>
    <definedName name="mgmt_fee">#REF!</definedName>
    <definedName name="MI">#REF!</definedName>
    <definedName name="min" hidden="1">{"'Feb 99'!$A$1:$G$30"}</definedName>
    <definedName name="MinoInt">#REF!</definedName>
    <definedName name="MinoIntP">#REF!</definedName>
    <definedName name="MINUS">#REF!</definedName>
    <definedName name="MIProof">#REF!</definedName>
    <definedName name="MISSUM">#REF!</definedName>
    <definedName name="mm">#REF!</definedName>
    <definedName name="MM_02">#REF!</definedName>
    <definedName name="MM_1">#REF!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mnfmfgm">#REF!</definedName>
    <definedName name="MNOPQ">#REF!</definedName>
    <definedName name="Mnth">#REF!</definedName>
    <definedName name="MOE">#REF!</definedName>
    <definedName name="monkey">#REF!</definedName>
    <definedName name="MONTH">#REF!</definedName>
    <definedName name="monthcode">#REF!</definedName>
    <definedName name="monthcode___0">#REF!</definedName>
    <definedName name="monthcode___12">#REF!</definedName>
    <definedName name="monthcode___14">#REF!</definedName>
    <definedName name="monthcode___3">#REF!</definedName>
    <definedName name="monthcode___5">#REF!</definedName>
    <definedName name="monthcode___6">#REF!</definedName>
    <definedName name="monthcode___8">#REF!</definedName>
    <definedName name="MONTHEND">#REF!</definedName>
    <definedName name="MPC">#REF!</definedName>
    <definedName name="MPL">#REF!</definedName>
    <definedName name="MR">#REF!</definedName>
    <definedName name="msj">#REF!</definedName>
    <definedName name="mskdns">#REF!</definedName>
    <definedName name="MTHDGT">#REF!</definedName>
    <definedName name="MTHNO">#REF!</definedName>
    <definedName name="mtymrftgjm">#REF!</definedName>
    <definedName name="Mud">#REF!</definedName>
    <definedName name="MUIPO">#REF!</definedName>
    <definedName name="MVSUM">#REF!</definedName>
    <definedName name="my" hidden="1">{#N/A,#N/A,FALSE,"Sheet1"}</definedName>
    <definedName name="N">#REF!</definedName>
    <definedName name="N_investment">#REF!</definedName>
    <definedName name="n3a">#REF!</definedName>
    <definedName name="Na">#REF!</definedName>
    <definedName name="Nada">#REF!</definedName>
    <definedName name="NalcoBPR">#REF!</definedName>
    <definedName name="Name">#REF!</definedName>
    <definedName name="Name___0">#REF!</definedName>
    <definedName name="Name___12">#REF!</definedName>
    <definedName name="Name___14">#REF!</definedName>
    <definedName name="Name___3">#REF!</definedName>
    <definedName name="Name___5">#REF!</definedName>
    <definedName name="Name___6">#REF!</definedName>
    <definedName name="Name___8">#REF!</definedName>
    <definedName name="NameRef">#REF!</definedName>
    <definedName name="NameRef1">#REF!</definedName>
    <definedName name="nbl">#REF!</definedName>
    <definedName name="NBV">#REF!</definedName>
    <definedName name="NCVR">#REF!</definedName>
    <definedName name="NCVR1">#REF!</definedName>
    <definedName name="NET_ASSETS__LIABILITIES">#REF!</definedName>
    <definedName name="Net_book_value">#REF!</definedName>
    <definedName name="NET_CURRENT_ASSETS__LIABILITIES">#REF!</definedName>
    <definedName name="new">#REF!</definedName>
    <definedName name="newname">#REF!</definedName>
    <definedName name="NEXTMTH">#REF!</definedName>
    <definedName name="nfgf">#REF!</definedName>
    <definedName name="ngjgj">#REF!</definedName>
    <definedName name="nhk">#REF!</definedName>
    <definedName name="NJI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njk">#REF!</definedName>
    <definedName name="nk">#REF!</definedName>
    <definedName name="nm">#REF!</definedName>
    <definedName name="nn">#REF!</definedName>
    <definedName name="nnn" hidden="1">{#N/A,#N/A,FALSE,"Sheet1"}</definedName>
    <definedName name="nnnn">#REF!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nnnnnnnnnnnnnnnnnnnnnnnnnnnnnnnnnnnnnnnnnnnnnnnnnnnnnnnnnnnnnnnnnnnnnnnnnnnnnnnnnnnnnnnnnnnnnnnnnnnnnnnnnnnnnnnnnnnnn">#REF!</definedName>
    <definedName name="NO">#REF!</definedName>
    <definedName name="NOMO">#REF!</definedName>
    <definedName name="NONCAD">#REF!</definedName>
    <definedName name="NONCADP">#REF!</definedName>
    <definedName name="Normal">#REF!</definedName>
    <definedName name="Not">#REF!</definedName>
    <definedName name="note">#REF!</definedName>
    <definedName name="note1">#REF!</definedName>
    <definedName name="note10">#REF!</definedName>
    <definedName name="NOTE2">#REF!</definedName>
    <definedName name="NOTES">#REF!</definedName>
    <definedName name="Nov">#REF!</definedName>
    <definedName name="NovRatios">#REF!</definedName>
    <definedName name="nrttt" hidden="1">{#N/A,#N/A,FALSE,"Sheet1"}</definedName>
    <definedName name="nrtttttt" hidden="1">{#N/A,#N/A,FALSE,"Sheet1"}</definedName>
    <definedName name="NS">#REF!</definedName>
    <definedName name="NTraPayables">#REF!</definedName>
    <definedName name="NTraPayablesP">#REF!</definedName>
    <definedName name="num">#REF!</definedName>
    <definedName name="NUM_DOCS">#REF!</definedName>
    <definedName name="Num_Pmt_Per_Year">#REF!</definedName>
    <definedName name="NUMBER">#N/A</definedName>
    <definedName name="Number_of_Payments">MATCH(0.01,End_Bal,-1)+1</definedName>
    <definedName name="Number1">#REF!</definedName>
    <definedName name="NUMCHECK">AND(ISNUMBER(#REF!),ISNUMBER(#REF!),ISNUMBER(#REF!),ISNUMBER(#REF!))</definedName>
    <definedName name="NUMENTRIES">#REF!</definedName>
    <definedName name="NURIDA">#REF!</definedName>
    <definedName name="NY">#REF!</definedName>
    <definedName name="NYFC">#REF!</definedName>
    <definedName name="NYFCE">#REF!</definedName>
    <definedName name="NYFCM">#REF!</definedName>
    <definedName name="o">#REF!</definedName>
    <definedName name="O.INCOME">#REF!</definedName>
    <definedName name="OCT">#REF!</definedName>
    <definedName name="OCT___0">#REF!</definedName>
    <definedName name="OCT___12">#REF!</definedName>
    <definedName name="OCT___14">#REF!</definedName>
    <definedName name="OCT___3">#REF!</definedName>
    <definedName name="OCT___5">#REF!</definedName>
    <definedName name="OCT___6">#REF!</definedName>
    <definedName name="OCT___8">#REF!</definedName>
    <definedName name="Oct_20">#REF!</definedName>
    <definedName name="OCT334___0">#REF!</definedName>
    <definedName name="OCT334___12">#REF!</definedName>
    <definedName name="OCT334___14">#REF!</definedName>
    <definedName name="OCT334___3">#REF!</definedName>
    <definedName name="OCT334___5">#REF!</definedName>
    <definedName name="OCT334___6">#REF!</definedName>
    <definedName name="OCT334___8">#REF!</definedName>
    <definedName name="OCTAP" hidden="1">#REF!</definedName>
    <definedName name="OctRatios">#REF!</definedName>
    <definedName name="ODefTax">#REF!</definedName>
    <definedName name="OFFEQUIP">#REF!</definedName>
    <definedName name="OFFSUM">#REF!</definedName>
    <definedName name="oiuytre">#REF!</definedName>
    <definedName name="ok">#REF!</definedName>
    <definedName name="okungy">#REF!</definedName>
    <definedName name="oo">#REF!</definedName>
    <definedName name="OODefTax">#REF!</definedName>
    <definedName name="OODefTaxP">#REF!</definedName>
    <definedName name="ooo">#REF!,#REF!</definedName>
    <definedName name="oooooo" hidden="1">{#N/A,#N/A,FALSE,"Sheet1"}</definedName>
    <definedName name="oooooooooooo" hidden="1">{#N/A,#N/A,FALSE,"Sheet1"}</definedName>
    <definedName name="Open">TRUE</definedName>
    <definedName name="opex" hidden="1">{"'Feb 99'!$A$1:$G$30"}</definedName>
    <definedName name="opo">#REF!</definedName>
    <definedName name="opp">#REF!</definedName>
    <definedName name="oppp">#REF!</definedName>
    <definedName name="OPrepatax">#REF!</definedName>
    <definedName name="OPrepataxP">#REF!</definedName>
    <definedName name="OS">#REF!</definedName>
    <definedName name="OSM">#REF!</definedName>
    <definedName name="OthDebts">#REF!</definedName>
    <definedName name="other">#REF!</definedName>
    <definedName name="Other_Debtors__deposits_prepayment">#REF!</definedName>
    <definedName name="OTHER_FEE_INCOME">#REF!</definedName>
    <definedName name="OTHER_INCOME">#REF!</definedName>
    <definedName name="Othercreditors">#REF!</definedName>
    <definedName name="Otherdebtor">#REF!</definedName>
    <definedName name="otherincome">#REF!</definedName>
    <definedName name="otherincomeP">#REF!</definedName>
    <definedName name="others">#REF!</definedName>
    <definedName name="Others__specify">#REF!</definedName>
    <definedName name="others1">#REF!</definedName>
    <definedName name="others2">#REF!</definedName>
    <definedName name="others4">#REF!</definedName>
    <definedName name="others5">#REF!</definedName>
    <definedName name="others7">#REF!</definedName>
    <definedName name="others8">#REF!</definedName>
    <definedName name="ots" hidden="1">{#VALUE!,#N/A,FALSE,0}</definedName>
    <definedName name="Owing_from__to__Assc._Co.">#REF!</definedName>
    <definedName name="Owing_from__to__MACCH">#REF!</definedName>
    <definedName name="p">#REF!,#REF!</definedName>
    <definedName name="P_L_DISCLOSURE">#N/A</definedName>
    <definedName name="P2HP">#REF!</definedName>
    <definedName name="P2HPP">#REF!</definedName>
    <definedName name="P3BA">#REF!</definedName>
    <definedName name="P3BAP">#REF!</definedName>
    <definedName name="pa">#REF!</definedName>
    <definedName name="pa___0">#REF!</definedName>
    <definedName name="pa___12">#REF!</definedName>
    <definedName name="pa___14">#REF!</definedName>
    <definedName name="pa___3">#REF!</definedName>
    <definedName name="pa___5">#REF!</definedName>
    <definedName name="pa___6">#REF!</definedName>
    <definedName name="pa___8">#REF!</definedName>
    <definedName name="PAGE">#REF!</definedName>
    <definedName name="PAGE1">#REF!</definedName>
    <definedName name="PAGE2">#N/A</definedName>
    <definedName name="PAGE6">#REF!</definedName>
    <definedName name="PAGE7">#REF!</definedName>
    <definedName name="paje">#REF!</definedName>
    <definedName name="par">#REF!</definedName>
    <definedName name="parner">#REF!</definedName>
    <definedName name="pars">#REF!</definedName>
    <definedName name="part">#REF!</definedName>
    <definedName name="Particulars">#REF!</definedName>
    <definedName name="Particulars1">#REF!</definedName>
    <definedName name="partner">#REF!</definedName>
    <definedName name="PARTNERS_INITIALS">#REF!</definedName>
    <definedName name="pat">#REF!</definedName>
    <definedName name="PATHGroup">#REF!</definedName>
    <definedName name="Pay_Date">#REF!</definedName>
    <definedName name="Pay_Num">#REF!</definedName>
    <definedName name="Payment" hidden="1">#REF!</definedName>
    <definedName name="Payment_Date">DATE(YEAR(Loan_Start),MONTH(Loan_Start)+Payment_Number,DAY(Loan_Start))</definedName>
    <definedName name="Payments_per_year">#REF!</definedName>
    <definedName name="Payroll_Samp">#REF!</definedName>
    <definedName name="PayrollDatabase">#REF!</definedName>
    <definedName name="PayrollDatabase1">#REF!</definedName>
    <definedName name="PB">#REF!</definedName>
    <definedName name="PBB" hidden="1">{#N/A,#N/A,FALSE,"Sheet1"}</definedName>
    <definedName name="pbt">#REF!</definedName>
    <definedName name="pbtp">#REF!</definedName>
    <definedName name="PD">#REF!</definedName>
    <definedName name="PDIV">#REF!</definedName>
    <definedName name="PEAA">#REF!</definedName>
    <definedName name="PERBELANJAAN_JUALAN">#REF!</definedName>
    <definedName name="PERBELANJAAN_PENGURUSAN">#REF!</definedName>
    <definedName name="Period_Month">12</definedName>
    <definedName name="Period_Year">1997</definedName>
    <definedName name="Perm_diff">#REF!</definedName>
    <definedName name="perpustakaan">#REF!</definedName>
    <definedName name="PersonnelExp">#REF!</definedName>
    <definedName name="PersonnelExp2">#REF!</definedName>
    <definedName name="PERYR">#REF!</definedName>
    <definedName name="PEUA">#REF!</definedName>
    <definedName name="PHASING">#REF!</definedName>
    <definedName name="PHASING1">#REF!</definedName>
    <definedName name="PhpYavg">#REF!</definedName>
    <definedName name="pioneer">#REF!</definedName>
    <definedName name="pl">#REF!</definedName>
    <definedName name="PL_00">#REF!</definedName>
    <definedName name="PL_01">#REF!</definedName>
    <definedName name="PL_02">#REF!</definedName>
    <definedName name="PL_03">#REF!</definedName>
    <definedName name="PL_04">#REF!</definedName>
    <definedName name="PL_20">#REF!</definedName>
    <definedName name="PL_LastMonth">#REF!</definedName>
    <definedName name="plc">#REF!</definedName>
    <definedName name="PLCA">#REF!</definedName>
    <definedName name="PLLA">#REF!</definedName>
    <definedName name="PLLCA">#REF!</definedName>
    <definedName name="PLNotes">#REF!</definedName>
    <definedName name="PLoss">#REF!</definedName>
    <definedName name="PM">#REF!</definedName>
    <definedName name="PM_DIS">#N/A</definedName>
    <definedName name="PM_H">#N/A</definedName>
    <definedName name="pmnt">#REF!</definedName>
    <definedName name="PMRP">#REF!</definedName>
    <definedName name="Pmt_to_use">#REF!</definedName>
    <definedName name="PMTO">#REF!</definedName>
    <definedName name="PNL_10">#REF!</definedName>
    <definedName name="PNL_20">#REF!</definedName>
    <definedName name="PNL_30">#REF!</definedName>
    <definedName name="Pnl10x">#REF!</definedName>
    <definedName name="PNL20_1">#REF!</definedName>
    <definedName name="PNL20_2">#REF!</definedName>
    <definedName name="PO_Samp">#REF!</definedName>
    <definedName name="PO_Samp02">#REF!</definedName>
    <definedName name="PosKAPreport">#REF!</definedName>
    <definedName name="POthrPayable">#REF!</definedName>
    <definedName name="POthrPayableP">#REF!</definedName>
    <definedName name="PP">#REF!</definedName>
    <definedName name="PP___0">#REF!</definedName>
    <definedName name="PP___12">#REF!</definedName>
    <definedName name="PP___14">#REF!</definedName>
    <definedName name="PP___3">#REF!</definedName>
    <definedName name="PP___5">#REF!</definedName>
    <definedName name="PP___6">#REF!</definedName>
    <definedName name="PP___8">#REF!</definedName>
    <definedName name="ppk">#REF!</definedName>
    <definedName name="ppl">#REF!</definedName>
    <definedName name="PPP">#REF!</definedName>
    <definedName name="pppooopopopop">#REF!</definedName>
    <definedName name="pppp" hidden="1">#REF!</definedName>
    <definedName name="ppppppppp">#REF!</definedName>
    <definedName name="ppppppppppppppppp" hidden="1">{#N/A,#N/A,FALSE,"Sheet1"}</definedName>
    <definedName name="ppppppppppppppppppppppppppppppppppppppppppppppppppppppp" hidden="1">{#N/A,#N/A,FALSE,"Sheet1"}</definedName>
    <definedName name="ppppppppppppppppppppppppppppppppppppppppppppppppppppppppppppppppppppppppppppppppppppppppppppppppppppppppppppp">#REF!</definedName>
    <definedName name="pqrs">#REF!</definedName>
    <definedName name="preman">#REF!</definedName>
    <definedName name="PREND">#REF!</definedName>
    <definedName name="Prepaidlease">#REF!</definedName>
    <definedName name="PrepaidleaseP">#REF!</definedName>
    <definedName name="PrepytFD">#REF!</definedName>
    <definedName name="Previous">#REF!</definedName>
    <definedName name="PrevYA">#REF!</definedName>
    <definedName name="Price">#REF!</definedName>
    <definedName name="Primary_infra">#REF!</definedName>
    <definedName name="PrimaryInfra">#REF!</definedName>
    <definedName name="Princ">#REF!</definedName>
    <definedName name="PRINT">#N/A</definedName>
    <definedName name="PRINT_AREA_02">#REF!</definedName>
    <definedName name="Print_Area_MI">#REF!</definedName>
    <definedName name="Print_Area_MI___0">#REF!</definedName>
    <definedName name="Print_Area_MI___4">#REF!</definedName>
    <definedName name="Print_Area_MI___5">#REF!</definedName>
    <definedName name="Print_Area_MIX">#REF!</definedName>
    <definedName name="Print_Area_Reset">OFFSET(Full_Print,0,0,Last_Row)</definedName>
    <definedName name="PRINT_TITLES_MI">#REF!</definedName>
    <definedName name="Print_Titles_MI___0">#REF!</definedName>
    <definedName name="Print_Titles_MI___12">#REF!</definedName>
    <definedName name="Print_Titles_MI___14">#REF!</definedName>
    <definedName name="Print_Titles_MI___3">#REF!</definedName>
    <definedName name="Print_Titles_MI___5">#REF!</definedName>
    <definedName name="Print_Titles_MI___6">#REF!</definedName>
    <definedName name="Print_Titles_MI___8">#REF!</definedName>
    <definedName name="PRINT1">#REF!</definedName>
    <definedName name="Print2">#REF!</definedName>
    <definedName name="PrintArea">#REF!</definedName>
    <definedName name="prje">#REF!</definedName>
    <definedName name="Proceeds">#REF!</definedName>
    <definedName name="Proceeds1">#REF!</definedName>
    <definedName name="PRODEV">#REF!</definedName>
    <definedName name="ProfFees">#REF!</definedName>
    <definedName name="ProfFees2">#REF!</definedName>
    <definedName name="Profit_Loss">#REF!</definedName>
    <definedName name="profitandloss">#REF!</definedName>
    <definedName name="Profitb4tax">#REF!</definedName>
    <definedName name="ProfitB4Tax_FY2000">#REF!</definedName>
    <definedName name="Profitloss">#REF!</definedName>
    <definedName name="PROOF">#REF!</definedName>
    <definedName name="PROPINVESTMENT">#REF!</definedName>
    <definedName name="provamend" hidden="1">{#N/A,#N/A,TRUE,"FA List"}</definedName>
    <definedName name="Provision_for_non_recoverable_of_debts_MACCH">#REF!</definedName>
    <definedName name="PRP">#REF!</definedName>
    <definedName name="psp">#REF!</definedName>
    <definedName name="PTAX">#REF!</definedName>
    <definedName name="pthers6">#REF!</definedName>
    <definedName name="PTO">#REF!</definedName>
    <definedName name="PVC">#REF!</definedName>
    <definedName name="PVCD">#REF!</definedName>
    <definedName name="PVCE">#REF!</definedName>
    <definedName name="PVCG">#REF!</definedName>
    <definedName name="PVCH">#REF!</definedName>
    <definedName name="py">#REF!</definedName>
    <definedName name="q">#REF!</definedName>
    <definedName name="Q1CURRYR">#REF!</definedName>
    <definedName name="Q1LASTYR">#REF!</definedName>
    <definedName name="Q2CURRYR">#REF!</definedName>
    <definedName name="Q2LASTYR">#REF!</definedName>
    <definedName name="q35y5yu">#REF!</definedName>
    <definedName name="qaaaaaaaaaaaaaaaaaaaaaaaaaaaaaaaaaaaaaaaaaaaaaaa">#REF!</definedName>
    <definedName name="qawsedrf">#REF!</definedName>
    <definedName name="qdqwdcqe">#REF!</definedName>
    <definedName name="QE_ADDITION">#REF!</definedName>
    <definedName name="QE_B_FORWARD">#REF!</definedName>
    <definedName name="QE_DISPOSAL">#REF!</definedName>
    <definedName name="QEAddition">#REF!</definedName>
    <definedName name="QEAddition1">#REF!</definedName>
    <definedName name="QEBF">#REF!</definedName>
    <definedName name="QEBF1">#REF!</definedName>
    <definedName name="QECF">#REF!</definedName>
    <definedName name="QECF1">#REF!</definedName>
    <definedName name="QEDisposal">#REF!</definedName>
    <definedName name="QEDisposal1">#REF!</definedName>
    <definedName name="qegewgwr">#REF!</definedName>
    <definedName name="qerdqedqw">#REF!</definedName>
    <definedName name="qere" hidden="1">{#N/A,#N/A,FALSE,"Sheet1"}</definedName>
    <definedName name="qerqwerqwr">#REF!</definedName>
    <definedName name="qetfewgrw">#REF!</definedName>
    <definedName name="QETWET">#REF!</definedName>
    <definedName name="qewfdeqwrfeqwr">#REF!</definedName>
    <definedName name="QEWFW">#REF!</definedName>
    <definedName name="qewwqeqw">#REF!</definedName>
    <definedName name="qhxd">#REF!</definedName>
    <definedName name="QQ">#REF!</definedName>
    <definedName name="QQ_retirementbenefit">#REF!</definedName>
    <definedName name="qqq" hidden="1">{#N/A,#N/A,FALSE,"Sheet1"}</definedName>
    <definedName name="qqqq">#REF!</definedName>
    <definedName name="qqqqq">#REF!</definedName>
    <definedName name="qqqqqq">#REF!</definedName>
    <definedName name="qqqqqqqqq">#REF!</definedName>
    <definedName name="qqqqqqqqqqqqqqqqqqq" hidden="1">{#N/A,#N/A,FALSE,"Sheet1"}</definedName>
    <definedName name="qqqqqqqqqqqqqqqqqqqqqqqqqqqqqqqqqqqqqqqqqqqqqqqqqqqqqqqqqqqqqqqqqqqqqqqqqqqqqqqqqqqqqqqqqqqqqqqqqqqqqqqqqqqqqqqqqqqq">#REF!</definedName>
    <definedName name="qqqqqqqqqqqqqqqqqqqqqqqqqqqqqqqqqqqqqqqqqqqqqqqqqqqqqqqqqqqqqqqqqqqqqqqqqqqqqqqqqqqqqqqqqqqqqqqqqqqqqqqqqqqqqqqqqqqqqqqqqqqqqqqqqqqqqqqqqqqqqqqqqqqqqqqqqqqqqqqqqqqqqq">#REF!</definedName>
    <definedName name="qqwewee">#REF!</definedName>
    <definedName name="qrqfqe">#REF!</definedName>
    <definedName name="qrqrq">#REF!</definedName>
    <definedName name="qrqwerqr">#REF!</definedName>
    <definedName name="qrqwrqwr">#REF!</definedName>
    <definedName name="qrqwrqwrqw">#REF!</definedName>
    <definedName name="qrrqwf">#REF!</definedName>
    <definedName name="qrwqwf">#REF!</definedName>
    <definedName name="QTermloan">#REF!</definedName>
    <definedName name="QTermloanP">#REF!</definedName>
    <definedName name="Qualifying_Cost">#REF!</definedName>
    <definedName name="QUARTER_1_2013">#REF!</definedName>
    <definedName name="QUARTER_1_2014">#REF!</definedName>
    <definedName name="QUARTER_1_LASTYR">#REF!</definedName>
    <definedName name="QUARTER_2_2013">#REF!</definedName>
    <definedName name="QUARTER_2_2014">#REF!</definedName>
    <definedName name="QUARTER_3_2013">#REF!</definedName>
    <definedName name="QUARTER_3_2014">#REF!</definedName>
    <definedName name="QUARTER_4_2013">#REF!</definedName>
    <definedName name="QUARTER_4_2014">#REF!</definedName>
    <definedName name="QUARTER1">#REF!</definedName>
    <definedName name="QUARTER1CURYR">#REF!</definedName>
    <definedName name="QUARTER2">#REF!</definedName>
    <definedName name="QUARTER2CURYR">#REF!</definedName>
    <definedName name="QUARTER3">#REF!</definedName>
    <definedName name="QUARTER3CURYR">#REF!</definedName>
    <definedName name="QUARTER4">#REF!</definedName>
    <definedName name="QUARTER4CURYR">#REF!</definedName>
    <definedName name="questionnick">#REF!</definedName>
    <definedName name="qwegfewgwr">#REF!</definedName>
    <definedName name="qwer">#REF!</definedName>
    <definedName name="QWERQER">#REF!</definedName>
    <definedName name="qwewre">#REF!</definedName>
    <definedName name="qwrfqwreqr">#REF!</definedName>
    <definedName name="qwrq2r2">#REF!</definedName>
    <definedName name="qwrqwqw">#REF!</definedName>
    <definedName name="R_E_Additions">#REF!</definedName>
    <definedName name="R_E_b_f">#REF!</definedName>
    <definedName name="R_e_c_f">#REF!</definedName>
    <definedName name="R_Eb_f">#REF!</definedName>
    <definedName name="rajik">#REF!</definedName>
    <definedName name="RAMIZU">#REF!</definedName>
    <definedName name="ramli">#REF!</definedName>
    <definedName name="ramli1">#REF!</definedName>
    <definedName name="ramli2">#REF!</definedName>
    <definedName name="ramli3">#REF!</definedName>
    <definedName name="ramli4">#REF!</definedName>
    <definedName name="ramli5">#REF!</definedName>
    <definedName name="ramli6">#REF!</definedName>
    <definedName name="ramli7">#REF!</definedName>
    <definedName name="Rate">#REF!</definedName>
    <definedName name="RATE_OF_AA">#REF!</definedName>
    <definedName name="RATE_OF_IA">#REF!</definedName>
    <definedName name="RateAA">#REF!</definedName>
    <definedName name="RateAA1">#REF!</definedName>
    <definedName name="RateIA">#REF!</definedName>
    <definedName name="RateIA1">#REF!</definedName>
    <definedName name="ray">#REF!</definedName>
    <definedName name="rdsff">#REF!</definedName>
    <definedName name="RE">#REF!</definedName>
    <definedName name="RE_ADDITION">#REF!</definedName>
    <definedName name="RE_B_FORWARD">#REF!</definedName>
    <definedName name="RE_DISPOSAL">#REF!</definedName>
    <definedName name="RE_TOTAL">#REF!</definedName>
    <definedName name="RE_tranferred_in">#REF!</definedName>
    <definedName name="RE_transferred_in">#REF!</definedName>
    <definedName name="REAddition">#REF!</definedName>
    <definedName name="REAddition1">#REF!</definedName>
    <definedName name="REBF">#REF!</definedName>
    <definedName name="REBF1">#REF!</definedName>
    <definedName name="RECF">#REF!</definedName>
    <definedName name="RECF1">#REF!</definedName>
    <definedName name="Recognition">#REF!</definedName>
    <definedName name="REDisposal">#REF!</definedName>
    <definedName name="REDisposal1">#REF!</definedName>
    <definedName name="ree">#REF!</definedName>
    <definedName name="REGERG">#REF!</definedName>
    <definedName name="reheheht">#REF!</definedName>
    <definedName name="reherht">#REF!</definedName>
    <definedName name="ReimDatabase">#REF!</definedName>
    <definedName name="ReimDatabase1">#REF!</definedName>
    <definedName name="related">#REF!</definedName>
    <definedName name="Rent">#REF!</definedName>
    <definedName name="Rental_expenses">#REF!</definedName>
    <definedName name="REPLACE">#REF!</definedName>
    <definedName name="REPO">#REF!</definedName>
    <definedName name="Report">#REF!</definedName>
    <definedName name="REPORTDATE">#N/A</definedName>
    <definedName name="rerer">#REF!</definedName>
    <definedName name="rert">#REF!</definedName>
    <definedName name="RES_EXPEN_CF">#REF!</definedName>
    <definedName name="RestNote">#REF!</definedName>
    <definedName name="Restricted_Sales_proceeds">#REF!</definedName>
    <definedName name="RESULT">#REF!</definedName>
    <definedName name="ret">#REF!</definedName>
    <definedName name="Retained_earning_div_income____current_year">#REF!</definedName>
    <definedName name="Retained_Profit__Loss__b_f">#REF!</definedName>
    <definedName name="Retimentbenefit">#REF!</definedName>
    <definedName name="RETotal">#REF!</definedName>
    <definedName name="RETotal1">#REF!</definedName>
    <definedName name="rett">#REF!</definedName>
    <definedName name="Revareserves">#REF!</definedName>
    <definedName name="RevareservesP">#REF!</definedName>
    <definedName name="Revenue">#REF!</definedName>
    <definedName name="RevenueDBase">#REF!</definedName>
    <definedName name="RevenueP">#REF!</definedName>
    <definedName name="Reversal_Infra">#REF!</definedName>
    <definedName name="RevRecogn">#REF!</definedName>
    <definedName name="rewhreher">#REF!</definedName>
    <definedName name="REWQRQ">#REF!</definedName>
    <definedName name="rfg">#REF!</definedName>
    <definedName name="rfgdfd">#REF!</definedName>
    <definedName name="rfgrgreg">#REF!</definedName>
    <definedName name="rfrfgtgt">#REF!</definedName>
    <definedName name="rftjrtjrt">#REF!</definedName>
    <definedName name="rgegergeg">#REF!</definedName>
    <definedName name="rggrege">#REF!</definedName>
    <definedName name="rggrgg">#REF!</definedName>
    <definedName name="rgregreg">#REF!</definedName>
    <definedName name="rgregrteg">#REF!</definedName>
    <definedName name="rgrg">#REF!</definedName>
    <definedName name="rgrgregrg">#REF!</definedName>
    <definedName name="rgrgrgr">#REF!</definedName>
    <definedName name="rgrtrgrtg">#REF!</definedName>
    <definedName name="rgtdrjmu">#REF!</definedName>
    <definedName name="RHRHRY">#REF!</definedName>
    <definedName name="rjrjrtj">#REF!</definedName>
    <definedName name="rjrtjrtj">#REF!</definedName>
    <definedName name="rjrtjrtjr">#REF!</definedName>
    <definedName name="rjtrjr">#REF!</definedName>
    <definedName name="rjtrtjrjtj">#REF!</definedName>
    <definedName name="rjywjr">#REF!</definedName>
    <definedName name="rmYavg">#REF!</definedName>
    <definedName name="ROP" hidden="1">{#N/A,#N/A,FALSE,"Sheet1"}</definedName>
    <definedName name="ROT" hidden="1">{#N/A,#N/A,FALSE,"Sheet1"}</definedName>
    <definedName name="RP">#REF!</definedName>
    <definedName name="RQ2RQE">#REF!</definedName>
    <definedName name="RQRQ">#REF!</definedName>
    <definedName name="rr">#REF!</definedName>
    <definedName name="rrrrr">#REF!</definedName>
    <definedName name="rrrrrrrrrr" hidden="1">{#N/A,#N/A,FALSE,"Sheet1"}</definedName>
    <definedName name="rrrrrrrrrrrrrrrrrrrrrrrrrrr" hidden="1">{#N/A,#N/A,FALSE,"Sheet1"}</definedName>
    <definedName name="rrrt\">#REF!</definedName>
    <definedName name="rrtrt">#REF!</definedName>
    <definedName name="rrtt">#REF!</definedName>
    <definedName name="rtert">#REF!</definedName>
    <definedName name="rtesh">#REF!</definedName>
    <definedName name="rtfjrtjrt">#REF!</definedName>
    <definedName name="rthrthet">#REF!</definedName>
    <definedName name="rthtjrf">#REF!</definedName>
    <definedName name="rtjrjyj">#REF!</definedName>
    <definedName name="rtjrthjhet">#REF!</definedName>
    <definedName name="rtjrtje">#REF!</definedName>
    <definedName name="rtjrtjrtj">#REF!</definedName>
    <definedName name="rtret4">#REF!</definedName>
    <definedName name="RTYJUTKUY">#REF!</definedName>
    <definedName name="rtytt">#REF!</definedName>
    <definedName name="RubberLining">#REF!</definedName>
    <definedName name="RUT" hidden="1">{#N/A,#N/A,FALSE,"Sheet1"}</definedName>
    <definedName name="rwaf">#REF!</definedName>
    <definedName name="rwjrywjtr">#REF!</definedName>
    <definedName name="rwr">#REF!</definedName>
    <definedName name="ry" hidden="1">{#N/A,#N/A,FALSE,"Sheet1"}</definedName>
    <definedName name="ryjryjryj">#REF!</definedName>
    <definedName name="RYJYTJTY">#REF!</definedName>
    <definedName name="ryreyre">#REF!</definedName>
    <definedName name="S">#REF!</definedName>
    <definedName name="S_AP">#REF!</definedName>
    <definedName name="sa">#REF!</definedName>
    <definedName name="sad" hidden="1">{#N/A,#N/A,FALSE,"Sheet1"}</definedName>
    <definedName name="safdasdfasdf" hidden="1">{#N/A,#N/A,FALSE,"Sheet1"}</definedName>
    <definedName name="safe">#REF!</definedName>
    <definedName name="saft">#REF!</definedName>
    <definedName name="sagfadfvad">#REF!</definedName>
    <definedName name="sagshrh">#REF!</definedName>
    <definedName name="salary">#REF!</definedName>
    <definedName name="SaleCyc">#REF!</definedName>
    <definedName name="sales">#REF!</definedName>
    <definedName name="Sales_Proceeds">#REF!</definedName>
    <definedName name="Sales_Samp01">#REF!</definedName>
    <definedName name="Sales_Samp02">#REF!</definedName>
    <definedName name="Samp_TM_Exp_Diff">#REF!</definedName>
    <definedName name="SAPBEXrevision" hidden="1">1</definedName>
    <definedName name="SAPBEXsysID" hidden="1">"ABP"</definedName>
    <definedName name="SAPBEXwbID" hidden="1">"3RQ3R4NX1CR2GFL7E48W5VNHZ"</definedName>
    <definedName name="sasfqwdqw">#REF!</definedName>
    <definedName name="SAVE">#REF!</definedName>
    <definedName name="sb" hidden="1">{#N/A,#N/A,FALSE,"Sheet1"}</definedName>
    <definedName name="SC_DEP">#REF!</definedName>
    <definedName name="SC_UNQ">#REF!</definedName>
    <definedName name="SCAP">#REF!</definedName>
    <definedName name="scdv">#REF!</definedName>
    <definedName name="sch">#REF!</definedName>
    <definedName name="Sch1A_1">#REF!</definedName>
    <definedName name="Sch1A_2">#REF!</definedName>
    <definedName name="SCH1B">#REF!</definedName>
    <definedName name="SCH2A">#REF!</definedName>
    <definedName name="SCH2A_1">#REF!</definedName>
    <definedName name="SCH2A_2">#REF!</definedName>
    <definedName name="Sch2A1_1">#REF!</definedName>
    <definedName name="Sch2A1_2">#REF!</definedName>
    <definedName name="Sch2A1_3">#REF!</definedName>
    <definedName name="Sch2A1_4">#REF!</definedName>
    <definedName name="Sch2A1_5">#REF!</definedName>
    <definedName name="Sch2A1_6">#REF!</definedName>
    <definedName name="Sch2A1_7">#REF!</definedName>
    <definedName name="Sch2B">#REF!</definedName>
    <definedName name="SCH2B_1">#REF!</definedName>
    <definedName name="SCH2B_2">#REF!</definedName>
    <definedName name="sch2C">#REF!</definedName>
    <definedName name="SCH2D">#REF!</definedName>
    <definedName name="sch2E">#REF!</definedName>
    <definedName name="SCH2F">#REF!</definedName>
    <definedName name="Sch3_1">#REF!</definedName>
    <definedName name="SCH3_10">#REF!</definedName>
    <definedName name="SCH3_11">#REF!</definedName>
    <definedName name="SCH3_12">#REF!</definedName>
    <definedName name="SCH3_13">#REF!</definedName>
    <definedName name="Sch3_2">#REF!</definedName>
    <definedName name="SCH3_3">#REF!</definedName>
    <definedName name="Sch3_4">#REF!</definedName>
    <definedName name="Sch3_5">#REF!</definedName>
    <definedName name="Sch3_6">#REF!</definedName>
    <definedName name="Sch3_7">#REF!</definedName>
    <definedName name="SCH3_8">#REF!</definedName>
    <definedName name="SCH3_9">#REF!</definedName>
    <definedName name="SCH4A_1">#REF!</definedName>
    <definedName name="SCH4A_2">#REF!</definedName>
    <definedName name="SCH4A_3">#REF!</definedName>
    <definedName name="SCH4A_4">#REF!</definedName>
    <definedName name="SCH4A_5">#REF!</definedName>
    <definedName name="Sch4A01">#REF!</definedName>
    <definedName name="Sch4A02">#REF!</definedName>
    <definedName name="Sch4A03">#REF!</definedName>
    <definedName name="Sch4A04">#REF!</definedName>
    <definedName name="Sch4A05">#REF!</definedName>
    <definedName name="Sch4A06">#REF!</definedName>
    <definedName name="Sch4A07">#REF!</definedName>
    <definedName name="Sch4A08">#REF!</definedName>
    <definedName name="Sch4B">#REF!</definedName>
    <definedName name="sch4c">#REF!</definedName>
    <definedName name="Sch4C_1">#REF!</definedName>
    <definedName name="Sch4C_2">#REF!</definedName>
    <definedName name="SCH4D">#REF!</definedName>
    <definedName name="Sch4dd1">#REF!</definedName>
    <definedName name="Sch4e1">#REF!</definedName>
    <definedName name="Sch4e2">#REF!</definedName>
    <definedName name="Sch5d">#REF!</definedName>
    <definedName name="SchDebt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Name">#REF!</definedName>
    <definedName name="SchRef">#REF!</definedName>
    <definedName name="SchRef1">#REF!</definedName>
    <definedName name="SchRefText">#REF!</definedName>
    <definedName name="SchRefText1">#REF!</definedName>
    <definedName name="SCOFF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sdAWSD" hidden="1">{"'Feb 99'!$A$1:$G$30"}</definedName>
    <definedName name="sdeposit">#REF!</definedName>
    <definedName name="SDEPOSITS">#REF!</definedName>
    <definedName name="sdff">#REF!</definedName>
    <definedName name="sdfsdf">#REF!</definedName>
    <definedName name="sdfsdfse">#REF!</definedName>
    <definedName name="sdgdsg">#REF!</definedName>
    <definedName name="sdgdsgds">#REF!</definedName>
    <definedName name="sdgsd">#REF!</definedName>
    <definedName name="sdgsdfgfsdh">#REF!</definedName>
    <definedName name="sdgsdgsdg">#REF!</definedName>
    <definedName name="sdjhdfhjshf">#REF!</definedName>
    <definedName name="SDKFLKASDJF">#REF!</definedName>
    <definedName name="sdrttt">#REF!</definedName>
    <definedName name="sdsda">#REF!</definedName>
    <definedName name="sdvvv" hidden="1">{#N/A,#N/A,FALSE,"Sheet1"}</definedName>
    <definedName name="search">#REF!</definedName>
    <definedName name="SEATCOVER">#REF!</definedName>
    <definedName name="sec_MM">#REF!</definedName>
    <definedName name="sec_U">#REF!</definedName>
    <definedName name="secBB2">#REF!</definedName>
    <definedName name="secL2">#REF!</definedName>
    <definedName name="section30_2">#REF!</definedName>
    <definedName name="section40">#REF!</definedName>
    <definedName name="sectionA">#REF!</definedName>
    <definedName name="sectionAA">#REF!</definedName>
    <definedName name="sectionB">#REF!</definedName>
    <definedName name="sectionB_1">#REF!</definedName>
    <definedName name="sectionB_3">#REF!</definedName>
    <definedName name="sectionB_5">#REF!</definedName>
    <definedName name="sectionB2">#REF!</definedName>
    <definedName name="sectionBB">#REF!</definedName>
    <definedName name="sectionBB_3">#REF!</definedName>
    <definedName name="sectionC">#REF!</definedName>
    <definedName name="sectionC_1">#REF!</definedName>
    <definedName name="sectionCC">#REF!</definedName>
    <definedName name="sectionDD">#REF!</definedName>
    <definedName name="sectionF_4">#REF!</definedName>
    <definedName name="sectionF_5">#REF!</definedName>
    <definedName name="sectionL">#REF!</definedName>
    <definedName name="sectionL_10">#REF!</definedName>
    <definedName name="sectionL_2">#REF!</definedName>
    <definedName name="sectionM">#REF!</definedName>
    <definedName name="sectionMM">#REF!</definedName>
    <definedName name="sectionMM_1">#REF!</definedName>
    <definedName name="sectionN">#REF!</definedName>
    <definedName name="sectionNN">#REF!</definedName>
    <definedName name="sectionU_2">#REF!</definedName>
    <definedName name="sectionU_3">#REF!</definedName>
    <definedName name="SelectM_1">#REF!</definedName>
    <definedName name="Sep">#REF!</definedName>
    <definedName name="SepRatios">#REF!</definedName>
    <definedName name="SERI_SELANGIN_SDN_BHD">#REF!</definedName>
    <definedName name="serrr">#REF!</definedName>
    <definedName name="setgsr">#REF!</definedName>
    <definedName name="setwt">#REF!</definedName>
    <definedName name="sevtionBB">#REF!</definedName>
    <definedName name="sfafed">#REF!</definedName>
    <definedName name="sfdsgfdsg">#REF!</definedName>
    <definedName name="sfewf">#REF!</definedName>
    <definedName name="sfgethetye">#REF!</definedName>
    <definedName name="sfgfdh">#REF!</definedName>
    <definedName name="sfsegergs">#REF!</definedName>
    <definedName name="sgd_bank1">#REF!</definedName>
    <definedName name="sgd_bank2">#REF!</definedName>
    <definedName name="sgddshs">#REF!</definedName>
    <definedName name="SGDF">#REF!</definedName>
    <definedName name="sgdgds">#REF!</definedName>
    <definedName name="sgdgshhdf">#REF!</definedName>
    <definedName name="sgdsdfgdfg">#REF!</definedName>
    <definedName name="sgdsgd">#REF!</definedName>
    <definedName name="sgdsgs">#REF!</definedName>
    <definedName name="sgfgfdhf">#REF!</definedName>
    <definedName name="sghghsdfh">#REF!</definedName>
    <definedName name="sgsdfgsr">#REF!</definedName>
    <definedName name="sgsdgsr">#REF!</definedName>
    <definedName name="sgsfds">#REF!</definedName>
    <definedName name="sgsg">#REF!</definedName>
    <definedName name="sgsgs">#REF!</definedName>
    <definedName name="sgsgsg">#REF!</definedName>
    <definedName name="sgshhrsh">#REF!</definedName>
    <definedName name="sgsr">#REF!</definedName>
    <definedName name="SH">#REF!</definedName>
    <definedName name="shahnaz">#REF!</definedName>
    <definedName name="Share_Capital">#REF!</definedName>
    <definedName name="Share01">#REF!</definedName>
    <definedName name="Share02">#REF!</definedName>
    <definedName name="Share03">#REF!</definedName>
    <definedName name="Share04">#REF!</definedName>
    <definedName name="Share05">#REF!</definedName>
    <definedName name="Share06">#REF!</definedName>
    <definedName name="SHAREHOLDERS__FUNDS">#REF!</definedName>
    <definedName name="sheet" hidden="1">#REF!</definedName>
    <definedName name="SheLett">#REF!</definedName>
    <definedName name="shfdhdhd">#REF!</definedName>
    <definedName name="shfhdfh">#REF!</definedName>
    <definedName name="shfsh">#REF!</definedName>
    <definedName name="shit2">#REF!</definedName>
    <definedName name="ShopOffice">#REF!</definedName>
    <definedName name="Short_term_investment">#REF!</definedName>
    <definedName name="Short_term_Loan">#REF!</definedName>
    <definedName name="SHP">#REF!</definedName>
    <definedName name="shshdrh">#REF!</definedName>
    <definedName name="shshresh">#REF!</definedName>
    <definedName name="shshsrh">#REF!</definedName>
    <definedName name="shyrsrherh">#REF!</definedName>
    <definedName name="sidh" hidden="1">{#VALUE!,#N/A,FALSE,0}</definedName>
    <definedName name="sjas">#REF!</definedName>
    <definedName name="sjs">#REF!</definedName>
    <definedName name="skhfks">#REF!</definedName>
    <definedName name="sld">#REF!</definedName>
    <definedName name="SnD">#REF!</definedName>
    <definedName name="SnDP">#REF!</definedName>
    <definedName name="SOWITHOUT">#REF!</definedName>
    <definedName name="sp">#REF!</definedName>
    <definedName name="Spec">#REF!</definedName>
    <definedName name="SPONGE">#REF!</definedName>
    <definedName name="Spremium">#REF!</definedName>
    <definedName name="SpremiumP">#REF!</definedName>
    <definedName name="srgetgwe">#REF!</definedName>
    <definedName name="SS">#REF!</definedName>
    <definedName name="ssd">#REF!</definedName>
    <definedName name="SSEEE">#REF!</definedName>
    <definedName name="ssfdhdsfh">#REF!</definedName>
    <definedName name="ssgrfgsrdh">#REF!</definedName>
    <definedName name="SSS">#REF!</definedName>
    <definedName name="SSSS">#REF!</definedName>
    <definedName name="sssss">#REF!</definedName>
    <definedName name="ssssss">#REF!</definedName>
    <definedName name="sssssss" hidden="1">{#N/A,#N/A,FALSE,"Sheet1"}</definedName>
    <definedName name="sssssssssssssssssssssssssssssssssssssssssssssssssssssssssssssssssssssssssssssssssssssssssssssssssssssssssssssssssssssssssssssssssssssssssssssssssssssssssssssssssssssssssssssssssssssssssss">#REF!</definedName>
    <definedName name="staetet">#REF!</definedName>
    <definedName name="STAPLES">#REF!</definedName>
    <definedName name="StartBP">#REF!</definedName>
    <definedName name="stat">#REF!</definedName>
    <definedName name="STATACC">#REF!</definedName>
    <definedName name="Stock">#REF!</definedName>
    <definedName name="Stocks">#REF!</definedName>
    <definedName name="Strat_1_Def">#REF!</definedName>
    <definedName name="Strat_1_It">#REF!</definedName>
    <definedName name="Strat_1_T">#REF!</definedName>
    <definedName name="Strat_2_Def">#REF!</definedName>
    <definedName name="Strat_2_It">#REF!</definedName>
    <definedName name="Strat_2_T">#REF!</definedName>
    <definedName name="Strat_Def">#REF!</definedName>
    <definedName name="Strat_T_It">#REF!</definedName>
    <definedName name="Strat_T_T">#REF!</definedName>
    <definedName name="Stvy_fin_type_ELITE">#REF!</definedName>
    <definedName name="Sub1CurrentYear">#REF!</definedName>
    <definedName name="Sub2CurrentYear">#REF!</definedName>
    <definedName name="Sub3CurrentYear">#REF!</definedName>
    <definedName name="Sub4CurrentYear">#REF!</definedName>
    <definedName name="Sub5CurrentYear">#REF!</definedName>
    <definedName name="Sub6CurrentYear">#REF!</definedName>
    <definedName name="Sub7CurrentYear">#REF!</definedName>
    <definedName name="Sub8CurrentYear">#REF!</definedName>
    <definedName name="Sub9CurrentYear">#REF!</definedName>
    <definedName name="subcon" hidden="1">{#N/A,#N/A,FALSE,"Sheet1"}</definedName>
    <definedName name="sum">#REF!</definedName>
    <definedName name="sum_1">#REF!</definedName>
    <definedName name="SUM_Cont">#REF!</definedName>
    <definedName name="Summary">#REF!</definedName>
    <definedName name="Summary26">#REF!</definedName>
    <definedName name="SummaryData">#REF!</definedName>
    <definedName name="SundryReceipts">#REF!</definedName>
    <definedName name="supplier">#REF!</definedName>
    <definedName name="Suppliers">#REF!</definedName>
    <definedName name="sut">#REF!</definedName>
    <definedName name="suzee" hidden="1">{#N/A,#N/A,FALSE,"Sheet1"}</definedName>
    <definedName name="sy">#REF!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syam1">#REF!</definedName>
    <definedName name="syt">#REF!</definedName>
    <definedName name="t">#REF!</definedName>
    <definedName name="t___0">#REF!</definedName>
    <definedName name="t___12">#REF!</definedName>
    <definedName name="t___14">#REF!</definedName>
    <definedName name="t___3">#REF!</definedName>
    <definedName name="t___5">#REF!</definedName>
    <definedName name="t___6">#REF!</definedName>
    <definedName name="t___8">#REF!</definedName>
    <definedName name="T1_NL_Cont">#REF!</definedName>
    <definedName name="T1_PL_Cont">#REF!</definedName>
    <definedName name="T2A_Cont">#REF!</definedName>
    <definedName name="T2B_Cont">#REF!</definedName>
    <definedName name="T3_Cont">#REF!</definedName>
    <definedName name="T4_Cont">#REF!</definedName>
    <definedName name="TAA">#REF!</definedName>
    <definedName name="TABadj">#REF!</definedName>
    <definedName name="TABbs">#REF!</definedName>
    <definedName name="table">#REF!</definedName>
    <definedName name="TABpl">#REF!</definedName>
    <definedName name="tax">#REF!</definedName>
    <definedName name="Tax_Computation_For_The_Year_of_Assessment_2003">#REF!</definedName>
    <definedName name="Taxation">#REF!</definedName>
    <definedName name="Taxation_1">#REF!</definedName>
    <definedName name="Taxation_2i">#REF!</definedName>
    <definedName name="Taxation_2ii">#REF!</definedName>
    <definedName name="Taxation_2iii">#REF!</definedName>
    <definedName name="Taxation_2iv">#REF!</definedName>
    <definedName name="Taxation_3">#REF!</definedName>
    <definedName name="TaxRef">#REF!</definedName>
    <definedName name="Tay">#REF!</definedName>
    <definedName name="TB">#REF!</definedName>
    <definedName name="TB_Links_Reports">#REF!</definedName>
    <definedName name="TC">" $A$1:$C$95"</definedName>
    <definedName name="TDSUM">#REF!</definedName>
    <definedName name="tdyh">#REF!</definedName>
    <definedName name="te">#REF!</definedName>
    <definedName name="TEHTRHTR">#REF!</definedName>
    <definedName name="tejnyrjytkt">#REF!</definedName>
    <definedName name="ten">#REF!</definedName>
    <definedName name="tere">#REF!</definedName>
    <definedName name="Terhutang_kepada_sykt._berkaitan">#REF!</definedName>
    <definedName name="Term_in_years">#REF!</definedName>
    <definedName name="TERMMTH">#REF!</definedName>
    <definedName name="test">#REF!</definedName>
    <definedName name="TEST0">#REF!</definedName>
    <definedName name="test1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xt15">#REF!</definedName>
    <definedName name="TextRefCopyRangeCount" hidden="1">2</definedName>
    <definedName name="tfyhtrh">#REF!</definedName>
    <definedName name="tgtger">#REF!</definedName>
    <definedName name="tgtgtg">#REF!</definedName>
    <definedName name="tgth">#REF!</definedName>
    <definedName name="tgtht">#REF!</definedName>
    <definedName name="th">#REF!</definedName>
    <definedName name="thai">#REF!</definedName>
    <definedName name="THETHEQ">#REF!</definedName>
    <definedName name="thhy">#REF!</definedName>
    <definedName name="thhyy">#REF!</definedName>
    <definedName name="thirty">#REF!</definedName>
    <definedName name="thismthw">#REF!</definedName>
    <definedName name="thjryjhrt">#REF!</definedName>
    <definedName name="thrdgsgs">#REF!</definedName>
    <definedName name="thtrhrt">#REF!</definedName>
    <definedName name="thtrhth">#REF!</definedName>
    <definedName name="Time_diff">#REF!</definedName>
    <definedName name="tiralbal">#REF!</definedName>
    <definedName name="TITLE">#REF!</definedName>
    <definedName name="title_bs">#REF!</definedName>
    <definedName name="title1a">#REF!</definedName>
    <definedName name="tjfjrt">#REF!</definedName>
    <definedName name="tjryjyrj">#REF!</definedName>
    <definedName name="tjtrjrt">#REF!</definedName>
    <definedName name="tjykjtk">#REF!</definedName>
    <definedName name="tkreeqwrtrjte">#REF!</definedName>
    <definedName name="tktektw">#REF!</definedName>
    <definedName name="tktykje">#REF!</definedName>
    <definedName name="tkykws">#REF!</definedName>
    <definedName name="TLHFSBC">#REF!</definedName>
    <definedName name="tmtmtym">#REF!</definedName>
    <definedName name="to">#REF!</definedName>
    <definedName name="TOP">#REF!</definedName>
    <definedName name="TOT">#REF!</definedName>
    <definedName name="Total">#REF!</definedName>
    <definedName name="Total_Interest">#REF!</definedName>
    <definedName name="Total_Pay">#REF!</definedName>
    <definedName name="TotalCA">#REF!</definedName>
    <definedName name="TotalCA___0">#REF!</definedName>
    <definedName name="TotalCA___12">#REF!</definedName>
    <definedName name="TotalCA___14">#REF!</definedName>
    <definedName name="TotalCA___3">#REF!</definedName>
    <definedName name="TotalCA___5">#REF!</definedName>
    <definedName name="TotalCA___6">#REF!</definedName>
    <definedName name="TotalCA___8">#REF!</definedName>
    <definedName name="TotalHP">#REF!</definedName>
    <definedName name="TotalIBA">#REF!</definedName>
    <definedName name="TotalLA">#REF!</definedName>
    <definedName name="TOTALS">#REF!</definedName>
    <definedName name="tp">#REF!</definedName>
    <definedName name="TPM" hidden="1">{#N/A,#N/A,FALSE,"Sheet1"}</definedName>
    <definedName name="tr">#REF!</definedName>
    <definedName name="Trade_Creditors">#REF!</definedName>
    <definedName name="Trade_Debtors">#REF!</definedName>
    <definedName name="Tradecreditors">#REF!</definedName>
    <definedName name="Tradedebtors">#REF!</definedName>
    <definedName name="Trcost_value">#REF!</definedName>
    <definedName name="treasury">#REF!</definedName>
    <definedName name="TrendAll">#REF!</definedName>
    <definedName name="TrendAllb">#REF!</definedName>
    <definedName name="trhtrh">#REF!</definedName>
    <definedName name="trhtrht">#REF!</definedName>
    <definedName name="trhtrhtr">#REF!</definedName>
    <definedName name="trialbal">#REF!</definedName>
    <definedName name="trialbal1">#REF!</definedName>
    <definedName name="trialbal1___0">#REF!</definedName>
    <definedName name="trialbal1___12">#REF!</definedName>
    <definedName name="trialbal1___14">#REF!</definedName>
    <definedName name="trialbal1___3">#REF!</definedName>
    <definedName name="trialbal1___5">#REF!</definedName>
    <definedName name="trialbal1___6">#REF!</definedName>
    <definedName name="trialbal1___8">#REF!</definedName>
    <definedName name="trjtrjr">#REF!</definedName>
    <definedName name="trruhtjy6j">#REF!</definedName>
    <definedName name="trt">#REF!</definedName>
    <definedName name="trtg">#REF!</definedName>
    <definedName name="trtjyjyu">#REF!</definedName>
    <definedName name="trtt">#REF!</definedName>
    <definedName name="tryj">#REF!</definedName>
    <definedName name="tsrdf">#REF!</definedName>
    <definedName name="tt">#REF!</definedName>
    <definedName name="ttg">#REF!</definedName>
    <definedName name="ttgregfr">#REF!</definedName>
    <definedName name="tthtth">#REF!</definedName>
    <definedName name="ttrhwr">#REF!</definedName>
    <definedName name="ttrtr">#REF!</definedName>
    <definedName name="tts">#REF!</definedName>
    <definedName name="TTSB">#REF!</definedName>
    <definedName name="tttr">#REF!</definedName>
    <definedName name="tttt" hidden="1">{#N/A,#N/A,FALSE,"Sheet1"}</definedName>
    <definedName name="tttttt" hidden="1">{"'Feb 99'!$A$1:$G$30"}</definedName>
    <definedName name="ttttttttt" hidden="1">{#N/A,#N/A,FALSE,"Sheet1"}</definedName>
    <definedName name="TTTY">#REF!</definedName>
    <definedName name="tukrajrwa">#REF!</definedName>
    <definedName name="twenty">#REF!</definedName>
    <definedName name="twetre">#REF!</definedName>
    <definedName name="twetwrty">#REF!</definedName>
    <definedName name="twrwr">#REF!</definedName>
    <definedName name="twtwe" hidden="1">{#N/A,#N/A,FALSE,"Sheet1"}</definedName>
    <definedName name="twwetwy">#REF!</definedName>
    <definedName name="TYJTYJ">#REF!</definedName>
    <definedName name="TYKJYRWJ">#REF!</definedName>
    <definedName name="tyktykty">#REF!</definedName>
    <definedName name="Type">#REF!</definedName>
    <definedName name="tyu">#REF!</definedName>
    <definedName name="tyy">#REF!</definedName>
    <definedName name="u">#REF!</definedName>
    <definedName name="U_01">#REF!</definedName>
    <definedName name="U_01lead">#REF!</definedName>
    <definedName name="U_02">#REF!</definedName>
    <definedName name="U_02b">#REF!</definedName>
    <definedName name="U_04">#REF!</definedName>
    <definedName name="U_1">#REF!</definedName>
    <definedName name="U_10">#REF!</definedName>
    <definedName name="U_1Dis">#REF!</definedName>
    <definedName name="U_2">#REF!</definedName>
    <definedName name="U_20">#REF!</definedName>
    <definedName name="U_40">#REF!</definedName>
    <definedName name="U_new">#REF!</definedName>
    <definedName name="U.31" hidden="1">{#N/A,#N/A,FALSE,"Sheet1"}</definedName>
    <definedName name="U.3131" hidden="1">{#N/A,#N/A,FALSE,"Sheet1"}</definedName>
    <definedName name="u4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u45y35">#REF!</definedName>
    <definedName name="u46u65">#REF!</definedName>
    <definedName name="u66j6">#REF!</definedName>
    <definedName name="u6rr">#REF!</definedName>
    <definedName name="u6ruoiu">#REF!</definedName>
    <definedName name="ua">#REF!</definedName>
    <definedName name="uas">#REF!</definedName>
    <definedName name="uauauaa">#REF!</definedName>
    <definedName name="UDIV">#REF!</definedName>
    <definedName name="uhuh" hidden="1">{"'Feb 99'!$A$1:$G$30"}</definedName>
    <definedName name="uiop">#REF!</definedName>
    <definedName name="uj">#REF!</definedName>
    <definedName name="ukkk">#REF!</definedName>
    <definedName name="ukru4">#REF!</definedName>
    <definedName name="uky">#REF!</definedName>
    <definedName name="UMI">#REF!</definedName>
    <definedName name="Unappcf">#REF!</definedName>
    <definedName name="UnappcfP">#REF!</definedName>
    <definedName name="Unappro">#REF!</definedName>
    <definedName name="UnapproP">#REF!</definedName>
    <definedName name="Unapproprofit">#REF!</definedName>
    <definedName name="UnapproprofitP">#REF!</definedName>
    <definedName name="unnamed">#REF!</definedName>
    <definedName name="up">#REF!</definedName>
    <definedName name="Upkeep">#REF!</definedName>
    <definedName name="USD">#REF!</definedName>
    <definedName name="usd_bank">#REF!</definedName>
    <definedName name="usdYavg">#REF!</definedName>
    <definedName name="UTAX">#REF!</definedName>
    <definedName name="utituit">#REF!</definedName>
    <definedName name="UTO">#REF!</definedName>
    <definedName name="utty" hidden="1">{#N/A,#N/A,FALSE,"Sheet1"}</definedName>
    <definedName name="uu">#REF!</definedName>
    <definedName name="UUS" hidden="1">{"'Feb 99'!$A$1:$G$30"}</definedName>
    <definedName name="uuuioo">#REF!</definedName>
    <definedName name="uuuuuu" hidden="1">{#N/A,#N/A,FALSE,"Sheet1"}</definedName>
    <definedName name="uuuuuuuu">#REF!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v">#REF!</definedName>
    <definedName name="UYFYUJGH">#REF!</definedName>
    <definedName name="V" hidden="1">#REF!</definedName>
    <definedName name="va">#REF!</definedName>
    <definedName name="val">#REF!,#REF!</definedName>
    <definedName name="valei">#REF!,#REF!</definedName>
    <definedName name="valid">#REF!,#REF!</definedName>
    <definedName name="VALID01234">#REF!,#REF!</definedName>
    <definedName name="VALID1234">#REF!,#REF!</definedName>
    <definedName name="valids">#REF!,#REF!</definedName>
    <definedName name="valie">#REF!,#REF!</definedName>
    <definedName name="valied">#REF!,#REF!</definedName>
    <definedName name="Values_Entered">IF(Loan_Amount*Interest_Rate*Loan_Years*Loan_Start&gt;0,1,0)</definedName>
    <definedName name="Var">#REF!</definedName>
    <definedName name="Var_1">#REF!</definedName>
    <definedName name="Var_2">#REF!</definedName>
    <definedName name="Var_3">#REF!</definedName>
    <definedName name="vbn">#REF!</definedName>
    <definedName name="Vendor_Summary">#REF!</definedName>
    <definedName name="VENEER">#REF!</definedName>
    <definedName name="verrrr">#REF!</definedName>
    <definedName name="vf" hidden="1">{#N/A,#N/A,FALSE,"Sheet1"}</definedName>
    <definedName name="vjksv">#REF!</definedName>
    <definedName name="VKL" hidden="1">{#N/A,#N/A,FALSE,"Sheet1"}</definedName>
    <definedName name="vrp" hidden="1">{#N/A,#N/A,FALSE,"FG2540"}</definedName>
    <definedName name="VS" hidden="1">{#N/A,#N/A,FALSE,"Sheet1"}</definedName>
    <definedName name="vv">#REF!</definedName>
    <definedName name="vvli">#REF!,#REF!</definedName>
    <definedName name="vvv" hidden="1">#REF!</definedName>
    <definedName name="vvvv">#REF!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w">#REF!</definedName>
    <definedName name="W5b" hidden="1">{"'Feb 99'!$A$1:$G$30"}</definedName>
    <definedName name="Währung">#REF!</definedName>
    <definedName name="wair">#REF!</definedName>
    <definedName name="warn1">#REF!</definedName>
    <definedName name="warn2">#REF!</definedName>
    <definedName name="warqwfd">#REF!</definedName>
    <definedName name="water">#REF!</definedName>
    <definedName name="wber">#REF!</definedName>
    <definedName name="we" hidden="1">{"'Feb 99'!$A$1:$G$30"}</definedName>
    <definedName name="wegwrgwr">#REF!</definedName>
    <definedName name="weighted">#REF!</definedName>
    <definedName name="weqeqwrq">#REF!</definedName>
    <definedName name="WEQWQWR">#REF!</definedName>
    <definedName name="wer">#REF!</definedName>
    <definedName name="were">#REF!</definedName>
    <definedName name="wetgqwt">#REF!</definedName>
    <definedName name="wfqwfqw">#REF!</definedName>
    <definedName name="wgewergwrg">#REF!</definedName>
    <definedName name="wgweg">#REF!</definedName>
    <definedName name="Wip_20">#REF!</definedName>
    <definedName name="woan" hidden="1">{#N/A,#N/A,FALSE,"Sheet1"}</definedName>
    <definedName name="WONG">#REF!</definedName>
    <definedName name="WORKING_CAPITAL">#REF!</definedName>
    <definedName name="wps">#REF!</definedName>
    <definedName name="wps___0">#REF!</definedName>
    <definedName name="wps___12">#REF!</definedName>
    <definedName name="wps___14">#REF!</definedName>
    <definedName name="wps___3">#REF!</definedName>
    <definedName name="wps___5">#REF!</definedName>
    <definedName name="wps___6">#REF!</definedName>
    <definedName name="wps___8">#REF!</definedName>
    <definedName name="wr2r">#REF!</definedName>
    <definedName name="wr3wr3v">#REF!</definedName>
    <definedName name="wregwrgr">#REF!</definedName>
    <definedName name="wrhgrwhnr">#REF!</definedName>
    <definedName name="wrhreher">#REF!</definedName>
    <definedName name="WRITE_BACK_OF_INTEREST_IN_SUSPENSE">#REF!</definedName>
    <definedName name="wrn.2002._.Conso." hidden="1">{#N/A,#N/A,FALSE,"A";#N/A,#N/A,FALSE,"CBS'1";#N/A,#N/A,FALSE,"CBS";#N/A,#N/A,FALSE,"CPL1";#N/A,#N/A,FALSE,"CPL";#N/A,#N/A,FALSE,"CJE1";#N/A,#N/A,FALSE,"masb8";#N/A,#N/A,FALSE,"MI1";#N/A,#N/A,FALSE,"GW1";#N/A,#N/A,FALSE,"NP1";#N/A,#N/A,FALSE,"NPL1";#N/A,#N/A,FALSE,"CJENPL1";#N/A,#N/A,FALSE,"CA1";#N/A,#N/A,FALSE,"CACPL1";#N/A,#N/A,FALSE,"CACJE1";#N/A,#N/A,FALSE,"CPPBS1";#N/A,#N/A,FALSE,"CPPPL1";#N/A,#N/A,FALSE,"CPCJE1";#N/A,#N/A,FALSE,"IMBS1";#N/A,#N/A,FALSE,"IMPL1";#N/A,#N/A,FALSE,"IMADJ1";#N/A,#N/A,FALSE,"CPDBS1";#N/A,#N/A,FALSE,"CPDPL1";#N/A,#N/A,FALSE,"CPDADJ1"}</definedName>
    <definedName name="wrn.2002._.Report." hidden="1">{#N/A,#N/A,FALSE,"BS";#N/A,#N/A,FALSE,"IS";#N/A,#N/A,FALSE,"sch 9";#N/A,#N/A,FALSE,"CF";#N/A,#N/A,FALSE,"cflow_Group";#N/A,#N/A,FALSE,"gain";#N/A,#N/A,FALSE,"SCIE"}</definedName>
    <definedName name="wrn.ACCOUNTS._.PAYABLE." hidden="1">{#N/A,#N/A,FALSE,"CC-1 Accounts Payable";#N/A,#N/A,FALSE,"CC-2 Search for Unrecorded Liab"}</definedName>
    <definedName name="wrn.ACCRUED._.EXPENSES." hidden="1">{#N/A,#N/A,FALSE,"EE-1 Othr Acts. Pbl &amp; Accr. Exp";#N/A,#N/A,FALSE,"FF-1 Payroll Taxes";#N/A,#N/A,FALSE,"HH-1 Employee Benefit Plans"}</definedName>
    <definedName name="wrn.Aging._.and._.Trend._.Analysis." hidden="1">{#N/A,#N/A,FALSE,"Aging Summary";#N/A,#N/A,FALSE,"Ratio Analysis";#N/A,#N/A,FALSE,"Test 120 Day Accts";#N/A,#N/A,FALSE,"Tickmarks"}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CAPITAL._.LEASES." hidden="1">{#N/A,#N/A,FALSE,"NN-1 Capital Leases"}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VENTORY." hidden="1">{#N/A,#N/A,FALSE,"F-1 Inventory Price Test-RM";#N/A,#N/A,FALSE,"F-2 Inventory-Test Count"}</definedName>
    <definedName name="wrn.LIFE._.INS.._.LOANS." hidden="1">{#N/A,#N/A,FALSE,"TT-1 Officers' Life Insurance"}</definedName>
    <definedName name="wrn.LONG._.TERM._.DEBT." hidden="1">{#N/A,#N/A,FALSE,"MM-1 Long Term Debt"}</definedName>
    <definedName name="wrn.MARKETABLE._.SEC.." hidden="1">{#N/A,#N/A,FALSE,"B-1 Mkt. Sec. - Int.";#N/A,#N/A,FALSE,"B-2 Mkt. Sec. - Val.";#N/A,#N/A,FALSE,"B-3 Mkt. Sec. - Gain (Loss)"}</definedName>
    <definedName name="wrn.MPLTC." hidden="1">{#VALUE!,#N/A,FALSE,0}</definedName>
    <definedName name="wrn.NOTES._.REC.." hidden="1">{#N/A,#N/A,FALSE,"H-1 Notes Receivable"}</definedName>
    <definedName name="wrn.OTHER._.INCOME." hidden="1">{#N/A,#N/A,FALSE,"0600-1 Other Income (Expense)"}</definedName>
    <definedName name="wrn.PREPAIDS." hidden="1">{#N/A,#N/A,FALSE,"G-1 Prepaid Expenses-Other";#N/A,#N/A,FALSE,"G-2 Prepaid Property Taxes";#N/A,#N/A,FALSE,"G-3 Prepaid Insurance "}</definedName>
    <definedName name="wrn.Production._.Finished._.Goods._.Stock._.Valuation." hidden="1">{#N/A,#N/A,FALSE,"FG2540"}</definedName>
    <definedName name="wrn.PROPERTY._.AND._.EQUIP.." hidden="1">{#N/A,#N/A,FALSE,"M-1 Property and Equipment";#N/A,#N/A,FALSE,"M-2 Asset Additions";#N/A,#N/A,FALSE,"M-3 Property Disposals"}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port_page_._.one." hidden="1">{#N/A,#N/A,TRUE,"FA List"}</definedName>
    <definedName name="wrn.report_page_two." hidden="1">{#N/A,#N/A,TRUE,"FA List"}</definedName>
    <definedName name="wrn.STOCKHOLDERS._.EQUITY." hidden="1">{#N/A,#N/A,FALSE,"WW-1 Stockholders' Equity"}</definedName>
    <definedName name="wrn.SUBSI." hidden="1">{#N/A,#N/A,FALSE,"NP1";#N/A,#N/A,FALSE,"NPL1";#N/A,#N/A,FALSE,"CJENPL1";#N/A,#N/A,FALSE,"CPPBS1";#N/A,#N/A,FALSE,"CPPPL1";#N/A,#N/A,FALSE,"CPCJE1";#N/A,#N/A,FALSE,"IMBS1";#N/A,#N/A,FALSE,"IMPL1";#N/A,#N/A,FALSE,"IMADJ1";#N/A,#N/A,FALSE,"CPDBS1";#N/A,#N/A,FALSE,"CPDPL1";#N/A,#N/A,FALSE,"CPDADJ1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terer">#REF!</definedName>
    <definedName name="wtetry">#REF!</definedName>
    <definedName name="wtgrwgre">#REF!</definedName>
    <definedName name="WTYRYR">#REF!</definedName>
    <definedName name="wuw">#REF!</definedName>
    <definedName name="ww">#REF!</definedName>
    <definedName name="wwefff">#REF!</definedName>
    <definedName name="www" hidden="1">{#N/A,#N/A,FALSE,"Sheet1"}</definedName>
    <definedName name="wwwe">#REF!</definedName>
    <definedName name="wwww">#REF!</definedName>
    <definedName name="wwwww" hidden="1">{#N/A,#N/A,FALSE,"Sheet1"}</definedName>
    <definedName name="wwwwwwwwww" hidden="1">{#N/A,#N/A,FALSE,"Sheet1"}</definedName>
    <definedName name="wwwwwwwwwwwww">#REF!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">#REF!</definedName>
    <definedName name="xdewgy">#REF!</definedName>
    <definedName name="xrrett">#REF!</definedName>
    <definedName name="xs">#REF!</definedName>
    <definedName name="xsxxxx">#REF!</definedName>
    <definedName name="xwkl">#REF!</definedName>
    <definedName name="xx">#REF!</definedName>
    <definedName name="XXA">#REF!</definedName>
    <definedName name="XXF14">#REF!</definedName>
    <definedName name="XXX">#REF!</definedName>
    <definedName name="xxxx" hidden="1">{#N/A,#N/A,FALSE,"Sheet1"}</definedName>
    <definedName name="XXXXX">#REF!</definedName>
    <definedName name="xxxxxxxxxxxxxxxxxxx" hidden="1">{#N/A,#N/A,FALSE,"Sheet1"}</definedName>
    <definedName name="xyz">#REF!</definedName>
    <definedName name="y">#REF!</definedName>
    <definedName name="YA">#REF!</definedName>
    <definedName name="YA_Disposed">#REF!</definedName>
    <definedName name="YA_of_Tranferor">#REF!</definedName>
    <definedName name="YA_of_Transferor">#REF!</definedName>
    <definedName name="YA_Purchased">#REF!</definedName>
    <definedName name="YA_transferred_in">#REF!</definedName>
    <definedName name="yaeye">#REF!</definedName>
    <definedName name="yap">#REF!</definedName>
    <definedName name="Ye">#REF!</definedName>
    <definedName name="Ye___0">#REF!</definedName>
    <definedName name="Ye___12">#REF!</definedName>
    <definedName name="Ye___14">#REF!</definedName>
    <definedName name="Ye___3">#REF!</definedName>
    <definedName name="Ye___5">#REF!</definedName>
    <definedName name="Ye___6">#REF!</definedName>
    <definedName name="Ye___8">#REF!</definedName>
    <definedName name="year">#REF!</definedName>
    <definedName name="Year_of_assessment_1979">#REF!</definedName>
    <definedName name="Year_of_assessment_1985">#REF!</definedName>
    <definedName name="Year_of_assessment_1986">#REF!</definedName>
    <definedName name="Year_of_assessment_1987">#REF!</definedName>
    <definedName name="Year_of_assessment_1989">#REF!</definedName>
    <definedName name="Year_of_assessment_1991">#REF!</definedName>
    <definedName name="Year_of_assessment_1992">#REF!</definedName>
    <definedName name="Year_of_assessment_1993">#REF!</definedName>
    <definedName name="Year_of_assessment_1995">#REF!</definedName>
    <definedName name="Year_of_assessment_1996">#REF!</definedName>
    <definedName name="YECY">#REF!</definedName>
    <definedName name="YELY">#REF!</definedName>
    <definedName name="YELYM">#REF!</definedName>
    <definedName name="YEM">#REF!</definedName>
    <definedName name="Yes">#REF!</definedName>
    <definedName name="yetedf">#REF!</definedName>
    <definedName name="yh" hidden="1">{#N/A,#N/A,FALSE,"Sheet1"}</definedName>
    <definedName name="yi" hidden="1">{#N/A,#N/A,FALSE,"Sheet1"}</definedName>
    <definedName name="yil88l">#REF!</definedName>
    <definedName name="yj4w">#REF!</definedName>
    <definedName name="yjjytjytj">#REF!</definedName>
    <definedName name="yjreye">#REF!</definedName>
    <definedName name="yjyjkuku">#REF!</definedName>
    <definedName name="yjyjrtj">#REF!</definedName>
    <definedName name="yjyjtj">#REF!</definedName>
    <definedName name="yjytk">#REF!</definedName>
    <definedName name="yjyuj6uyj">#REF!</definedName>
    <definedName name="ykttyktu">#REF!</definedName>
    <definedName name="ylktujkty">#REF!</definedName>
    <definedName name="ylyuili">#REF!</definedName>
    <definedName name="YOE">#REF!</definedName>
    <definedName name="yong">#REF!</definedName>
    <definedName name="you">#REF!</definedName>
    <definedName name="YPC">#REF!</definedName>
    <definedName name="YPL">#REF!</definedName>
    <definedName name="yrjj">#REF!</definedName>
    <definedName name="yrprd">"year"</definedName>
    <definedName name="YTD_DEPRN">#REF!</definedName>
    <definedName name="YTD_DEPRN___0">#REF!</definedName>
    <definedName name="YTD_DEPRN___12">#REF!</definedName>
    <definedName name="YTD_DEPRN___14">#REF!</definedName>
    <definedName name="YTD_DEPRN___3">#REF!</definedName>
    <definedName name="YTD_DEPRN___5">#REF!</definedName>
    <definedName name="YTD_DEPRN___6">#REF!</definedName>
    <definedName name="YTD_DEPRN___8">#REF!</definedName>
    <definedName name="YTJRYJRYJ">#REF!</definedName>
    <definedName name="ytkjtyjrthjjet">#REF!</definedName>
    <definedName name="ytkuku">#REF!</definedName>
    <definedName name="yukltsekw">#REF!</definedName>
    <definedName name="YUKUKUTE">#REF!</definedName>
    <definedName name="Yun" hidden="1">{"'Feb 99'!$A$1:$G$30"}</definedName>
    <definedName name="yupi">#REF!</definedName>
    <definedName name="yusri">#REF!</definedName>
    <definedName name="yy">#REF!</definedName>
    <definedName name="yyyy">#REF!</definedName>
    <definedName name="yyyyy" hidden="1">{#N/A,#N/A,FALSE,"Sheet1"}</definedName>
    <definedName name="yyyyyyy">#REF!</definedName>
    <definedName name="yyyyyyyy">#REF!</definedName>
    <definedName name="yyyyyyyyy" hidden="1">{#N/A,#N/A,FALSE,"Sheet1"}</definedName>
    <definedName name="z">#REF!</definedName>
    <definedName name="Z_1919F5CC_2B77_11D2_BEDE_0000E20938B8_.wvu.Cols" hidden="1">#REF!</definedName>
    <definedName name="Z_1919F5CC_2B77_11D2_BEDE_0000E20938B8_.wvu.FilterData" hidden="1">#REF!</definedName>
    <definedName name="Z_1919F5CC_2B77_11D2_BEDE_0000E20938B8_.wvu.PrintArea" hidden="1">#REF!</definedName>
    <definedName name="Z_1919F5CC_2B77_11D2_BEDE_0000E20938B8_.wvu.PrintTitles" hidden="1">#REF!,#REF!</definedName>
    <definedName name="Z_39BC5E81_0594_11D1_8C74_006097B34275_.wvu.FilterData" hidden="1">#REF!</definedName>
    <definedName name="Z_39BC5E82_0594_11D1_8C74_006097B34275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5A425F6_14F5_11D8_B028_0080481D8F51_.wvu.Cols" hidden="1">#REF!,#REF!</definedName>
    <definedName name="Z_85A425F6_14F5_11D8_B028_0080481D8F51_.wvu.PrintArea" hidden="1">#REF!</definedName>
    <definedName name="Z_85A425F6_14F5_11D8_B028_0080481D8F51_.wvu.PrintTitles" hidden="1">#REF!</definedName>
    <definedName name="Z_85A425F6_14F5_11D8_B028_0080481D8F51_.wvu.Rows" hidden="1">#REF!</definedName>
    <definedName name="Z_B8175DE2_E97C_11D0_8C74_006097B34275_.wvu.FilterData" hidden="1">#REF!</definedName>
    <definedName name="Z_DCA8D884_2605_11D1_A510_006097B38048_.wvu.FilterData" hidden="1">#REF!</definedName>
    <definedName name="Z_E2699901_D040_11D0_A510_006097B38048_.wvu.FilterData" hidden="1">#REF!</definedName>
    <definedName name="za">#REF!</definedName>
    <definedName name="zaliza">#REF!</definedName>
    <definedName name="zaxed">#REF!</definedName>
    <definedName name="Zone">"02"</definedName>
    <definedName name="zxc">#REF!</definedName>
    <definedName name="zxsc">#REF!</definedName>
    <definedName name="zz">#REF!</definedName>
    <definedName name="zzz">#REF!</definedName>
    <definedName name="zzzz">#REF!</definedName>
    <definedName name="zzzzzzzzzzzzzzzzz" hidden="1">{#N/A,#N/A,FALSE,"Sheet1"}</definedName>
    <definedName name="전">#REF!</definedName>
    <definedName name="주택사업본부">#REF!</definedName>
    <definedName name="철구사업본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Tan Li Wen</author>
  </authors>
  <commentList>
    <comment ref="O2" authorId="0">
      <text>
        <r>
          <rPr>
            <b/>
            <sz val="9"/>
            <rFont val="Tahoma"/>
            <charset val="134"/>
          </rPr>
          <t>Tan Li Wen:</t>
        </r>
        <r>
          <rPr>
            <sz val="9"/>
            <rFont val="Tahoma"/>
            <charset val="134"/>
          </rPr>
          <t xml:space="preserve">
make a comparison between monthly rental charged 399 with rent-to-own quote price set 450
399/450=89%</t>
        </r>
      </text>
    </comment>
    <comment ref="P2" authorId="0">
      <text>
        <r>
          <rPr>
            <b/>
            <sz val="9"/>
            <rFont val="Tahoma"/>
            <charset val="134"/>
          </rPr>
          <t>Tan Li Wen:</t>
        </r>
        <r>
          <rPr>
            <sz val="9"/>
            <rFont val="Tahoma"/>
            <charset val="134"/>
          </rPr>
          <t xml:space="preserve">
price list: 16,888 (this price included 1 year maintenance rate)
so to make it compareable to our rental fee which covered 3 years maintenance with 89% of quoted price = (16,888 + (2873*2)) * 89%</t>
        </r>
      </text>
    </comment>
    <comment ref="P5" authorId="0">
      <text>
        <r>
          <rPr>
            <b/>
            <sz val="9"/>
            <rFont val="Tahoma"/>
            <charset val="134"/>
          </rPr>
          <t>Tan Li Wen:</t>
        </r>
        <r>
          <rPr>
            <sz val="9"/>
            <rFont val="Tahoma"/>
            <charset val="134"/>
          </rPr>
          <t xml:space="preserve">
price list: 12,999 (this price included 1 year maintenance rate)
so to make it compareable to our rental fee which covered 2 years maintenance = 12,999 + 2288 = 15287</t>
        </r>
      </text>
    </comment>
    <comment ref="P6" authorId="0">
      <text>
        <r>
          <rPr>
            <b/>
            <sz val="9"/>
            <rFont val="Tahoma"/>
            <charset val="134"/>
          </rPr>
          <t>Tan Li Wen:</t>
        </r>
        <r>
          <rPr>
            <sz val="9"/>
            <rFont val="Tahoma"/>
            <charset val="134"/>
          </rPr>
          <t xml:space="preserve">
price list: 16,888 (this price included 1 year maintenance rate)
so to make it compareable to our rental fee which covered 3 years maintenance = 16,888 + (2873*2) = 22634</t>
        </r>
      </text>
    </comment>
  </commentList>
</comments>
</file>

<file path=xl/sharedStrings.xml><?xml version="1.0" encoding="utf-8"?>
<sst xmlns="http://schemas.openxmlformats.org/spreadsheetml/2006/main" count="427" uniqueCount="151">
  <si>
    <t>1.Maintain a price list for different  equipment model in system for auto calculate leasing (staff to update in system when have changes in price / add on model)</t>
  </si>
  <si>
    <t>2.Develope a module for Rent-to-own prodecures (from invoicing until leasing accounting entry)</t>
  </si>
  <si>
    <t xml:space="preserve">*To comply Lessor accounting (as our contract mentioned agreement shall commence on the date of the equipment is delivered - risk and right has based to customer upon deliver &amp; install), when stock out for installation - then need to calculate lease receivable </t>
  </si>
  <si>
    <t xml:space="preserve">Ice Maker Machine Price List </t>
  </si>
  <si>
    <t>No</t>
  </si>
  <si>
    <t>Model</t>
  </si>
  <si>
    <t>Type of Ice</t>
  </si>
  <si>
    <t>Short-term</t>
  </si>
  <si>
    <t>Lease</t>
  </si>
  <si>
    <t>R-t-O</t>
  </si>
  <si>
    <t>Outright</t>
  </si>
  <si>
    <t>Sort helper</t>
  </si>
  <si>
    <t>6 months</t>
  </si>
  <si>
    <t>12 months</t>
  </si>
  <si>
    <t xml:space="preserve"> 24 months (fixed)</t>
  </si>
  <si>
    <t xml:space="preserve"> 24 months (Quote)</t>
  </si>
  <si>
    <t>One-off Price (Dealer/Fixed)</t>
  </si>
  <si>
    <t>One-off Price (Quote)</t>
  </si>
  <si>
    <t>GR-CI100</t>
  </si>
  <si>
    <t>Cube Ice</t>
  </si>
  <si>
    <t>CI100</t>
  </si>
  <si>
    <t>GR-CI150</t>
  </si>
  <si>
    <t>CI150</t>
  </si>
  <si>
    <t>GR-CI500</t>
  </si>
  <si>
    <t xml:space="preserve">Cube Ice </t>
  </si>
  <si>
    <t>CI500</t>
  </si>
  <si>
    <t>GR-CI700</t>
  </si>
  <si>
    <t>CI700</t>
  </si>
  <si>
    <t>GR-NI1050</t>
  </si>
  <si>
    <t>Nugget Ice</t>
  </si>
  <si>
    <t>NI1050</t>
  </si>
  <si>
    <t xml:space="preserve">Dishwasher Machine Price List </t>
  </si>
  <si>
    <t>36 months (fixed)</t>
  </si>
  <si>
    <t>36 months (Quote)</t>
  </si>
  <si>
    <t>36 months     (w/o Detergent)</t>
  </si>
  <si>
    <t>One-off List Price (fixed)</t>
  </si>
  <si>
    <t>Cost</t>
  </si>
  <si>
    <t>U1M</t>
  </si>
  <si>
    <t>Under Counter</t>
  </si>
  <si>
    <t>D1M</t>
  </si>
  <si>
    <t>Door Lift</t>
  </si>
  <si>
    <t>DPCR1</t>
  </si>
  <si>
    <t>One Tank Conveyor</t>
  </si>
  <si>
    <t>DPCR2</t>
  </si>
  <si>
    <t>Two Tank Conveyor</t>
  </si>
  <si>
    <t>Contract number</t>
  </si>
  <si>
    <t>Nature</t>
  </si>
  <si>
    <t>Customer</t>
  </si>
  <si>
    <t>Contract start</t>
  </si>
  <si>
    <t>Contract end</t>
  </si>
  <si>
    <t>Contract period</t>
  </si>
  <si>
    <t>Deposit</t>
  </si>
  <si>
    <t>Month of deposit</t>
  </si>
  <si>
    <t>Monthly rental</t>
  </si>
  <si>
    <t>Installation Date</t>
  </si>
  <si>
    <t>Product Type</t>
  </si>
  <si>
    <t>S/N Number</t>
  </si>
  <si>
    <t>Rent at quoted price?</t>
  </si>
  <si>
    <t>Outright Price</t>
  </si>
  <si>
    <t>Maintenance Rate</t>
  </si>
  <si>
    <t>Dishwasher - with Detergent?</t>
  </si>
  <si>
    <t>Maintenance covered</t>
  </si>
  <si>
    <t>Hyperlink to PV Schedule</t>
  </si>
  <si>
    <t>Remarks</t>
  </si>
  <si>
    <t>SO25-0001</t>
  </si>
  <si>
    <t>Rent-to-own Dishwasher</t>
  </si>
  <si>
    <t>HAKATA F&amp;B SDN BHD</t>
  </si>
  <si>
    <t>36 months</t>
  </si>
  <si>
    <t>-</t>
  </si>
  <si>
    <t>S/N: TC 2401764</t>
  </si>
  <si>
    <t>Without</t>
  </si>
  <si>
    <t>SO25-0006</t>
  </si>
  <si>
    <t>KAM KITCHENS HOME SDN BHD</t>
  </si>
  <si>
    <t>S/R: TC 2402208</t>
  </si>
  <si>
    <t>With</t>
  </si>
  <si>
    <t>SO25-0135</t>
  </si>
  <si>
    <t>Rent-to-own ice machine</t>
  </si>
  <si>
    <t xml:space="preserve">Craven F&amp;B </t>
  </si>
  <si>
    <t>24 months</t>
  </si>
  <si>
    <t>NI 1050, S/N: ZJS250809A0052A</t>
  </si>
  <si>
    <t>N/A</t>
  </si>
  <si>
    <t>SO25-0138</t>
  </si>
  <si>
    <t xml:space="preserve">Nyonya Recipe </t>
  </si>
  <si>
    <t>CI500A-M 23*23*23, S/N: ZJS250823A0088A</t>
  </si>
  <si>
    <t>SO25-0172</t>
  </si>
  <si>
    <t>Goldhill Reserve Sdn Bhd</t>
  </si>
  <si>
    <t>S/N: TC 2500819</t>
  </si>
  <si>
    <t>Year end</t>
  </si>
  <si>
    <t>Account double entry (REVENUE RECOGNITION)</t>
  </si>
  <si>
    <t>Year beginning</t>
  </si>
  <si>
    <t>INPUTS</t>
  </si>
  <si>
    <t>Initial recognition</t>
  </si>
  <si>
    <t>Machine cost (inventory)</t>
  </si>
  <si>
    <t>Dr  Lease receivables</t>
  </si>
  <si>
    <t>&lt;= Total principal</t>
  </si>
  <si>
    <t>Lease term (months)</t>
  </si>
  <si>
    <t>Cr  Revenue - finance lease selling price</t>
  </si>
  <si>
    <t>&lt;= Machine proportion of principal</t>
  </si>
  <si>
    <t>Cr  Deferred revenue - maintenance</t>
  </si>
  <si>
    <t>&lt;= Maintenance proportion of principal</t>
  </si>
  <si>
    <t>Monthly lease payment</t>
  </si>
  <si>
    <t>Dr  Cost of Sales</t>
  </si>
  <si>
    <t>Option 1: Cash selling price</t>
  </si>
  <si>
    <t>Cr  Inventory</t>
  </si>
  <si>
    <t>&lt;= Inventory cost of machine</t>
  </si>
  <si>
    <t>Use selling price? Enter "Yes" or "No"</t>
  </si>
  <si>
    <t>Recognition of maintenance</t>
  </si>
  <si>
    <t>Dr  Deferred revenue - maintenance</t>
  </si>
  <si>
    <t>&lt;= Maintenance charged on straight-line basis</t>
  </si>
  <si>
    <t>Cash selling price</t>
  </si>
  <si>
    <t>Cr  Revenue - maintenance</t>
  </si>
  <si>
    <t>Outright price</t>
  </si>
  <si>
    <t>Maintenance rate</t>
  </si>
  <si>
    <t>Dr  Bank</t>
  </si>
  <si>
    <t>&lt;= Lease payment received</t>
  </si>
  <si>
    <t>Included for (years)</t>
  </si>
  <si>
    <t>Cr  Lease receivables</t>
  </si>
  <si>
    <t>&lt;= Principal portion of lease payment received</t>
  </si>
  <si>
    <t>Net outright price for machine</t>
  </si>
  <si>
    <t>Cr  Revenue - finance interest income</t>
  </si>
  <si>
    <t>&lt;= Interest portion of lease payment received</t>
  </si>
  <si>
    <t>Lease payment proportion</t>
  </si>
  <si>
    <t>Total lease payment</t>
  </si>
  <si>
    <t>Total maintenance fee</t>
  </si>
  <si>
    <t>&lt;= Maintenance price is fixed across the timeline</t>
  </si>
  <si>
    <t>Total payable for machine</t>
  </si>
  <si>
    <t>Lease principal proportion</t>
  </si>
  <si>
    <t>Lease portion</t>
  </si>
  <si>
    <t>Maintenance portion</t>
  </si>
  <si>
    <t>Derived calculations</t>
  </si>
  <si>
    <t>Monthly discount rate used</t>
  </si>
  <si>
    <t>INTEREST</t>
  </si>
  <si>
    <t>Net investment in lease (PV of lease payments)</t>
  </si>
  <si>
    <t>Revenue at commencement</t>
  </si>
  <si>
    <t>Cost of sales at commencement</t>
  </si>
  <si>
    <t>Selling profit at commencement</t>
  </si>
  <si>
    <t>Amortisation schedule</t>
  </si>
  <si>
    <t>Interest</t>
  </si>
  <si>
    <t>Rent to Own monthly fee</t>
  </si>
  <si>
    <t>Period</t>
  </si>
  <si>
    <t>Date</t>
  </si>
  <si>
    <t>Opening balance</t>
  </si>
  <si>
    <t>Finance income</t>
  </si>
  <si>
    <t>Cash received</t>
  </si>
  <si>
    <t>Principal reduction</t>
  </si>
  <si>
    <t>Closing balance</t>
  </si>
  <si>
    <t>Totals / checks</t>
  </si>
  <si>
    <t>Total finance income</t>
  </si>
  <si>
    <t>Total cash received</t>
  </si>
  <si>
    <t>Account double entry</t>
  </si>
  <si>
    <t>SO25-0176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</si>
</sst>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_-;\-* #,##0_-;_-* &quot;-&quot;??_-;_-@_-"/>
    <numFmt numFmtId="179" formatCode="_(* #,##0_);_(* \(#,##0\);_(* &quot;-&quot;??_);_(@_)"/>
  </numFmts>
  <fonts count="41">
    <font>
      <sz val="11"/>
      <color theme="1"/>
      <name val="Arial"/>
      <charset val="134"/>
    </font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sz val="11"/>
      <name val="Arial"/>
      <charset val="134"/>
    </font>
    <font>
      <sz val="11"/>
      <color rgb="FF0000CC"/>
      <name val="Arial"/>
      <charset val="134"/>
    </font>
    <font>
      <b/>
      <sz val="11"/>
      <name val="Arial"/>
      <charset val="134"/>
    </font>
    <font>
      <b/>
      <sz val="11"/>
      <color rgb="FF0000CC"/>
      <name val="Arial"/>
      <charset val="134"/>
    </font>
    <font>
      <b/>
      <sz val="11"/>
      <color rgb="FF0070C0"/>
      <name val="Arial"/>
      <charset val="134"/>
    </font>
    <font>
      <sz val="11"/>
      <color rgb="FF0070C0"/>
      <name val="Arial"/>
      <charset val="134"/>
    </font>
    <font>
      <u/>
      <sz val="11"/>
      <color rgb="FF0070C0"/>
      <name val="Arial"/>
      <charset val="134"/>
    </font>
    <font>
      <b/>
      <sz val="18"/>
      <color theme="1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b/>
      <sz val="11"/>
      <color theme="3" tint="0.249977111117893"/>
      <name val="Aptos Narrow"/>
      <charset val="134"/>
      <scheme val="minor"/>
    </font>
    <font>
      <sz val="11"/>
      <color theme="3" tint="0.249977111117893"/>
      <name val="Arial"/>
      <charset val="134"/>
    </font>
    <font>
      <b/>
      <sz val="11"/>
      <color rgb="FFFF0000"/>
      <name val="Aptos Narrow"/>
      <charset val="134"/>
      <scheme val="minor"/>
    </font>
    <font>
      <b/>
      <sz val="11"/>
      <color rgb="FFFF0000"/>
      <name val="Aptos Narrow"/>
      <charset val="134"/>
    </font>
    <font>
      <sz val="11"/>
      <color theme="1"/>
      <name val="Aptos Narrow"/>
      <charset val="134"/>
      <scheme val="minor"/>
    </font>
    <font>
      <u/>
      <sz val="11"/>
      <color theme="10"/>
      <name val="Arial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rial"/>
      <charset val="134"/>
    </font>
    <font>
      <sz val="11"/>
      <color rgb="FF9C5700"/>
      <name val="Arial"/>
      <charset val="134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b/>
      <sz val="9"/>
      <name val="Tahoma"/>
      <charset val="134"/>
    </font>
    <font>
      <sz val="9"/>
      <name val="Tahoma"/>
      <charset val="134"/>
    </font>
  </fonts>
  <fills count="46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/>
    <xf numFmtId="44" fontId="17" fillId="0" borderId="0" applyFont="0" applyFill="0" applyBorder="0" applyAlignment="0" applyProtection="0">
      <alignment vertical="center"/>
    </xf>
    <xf numFmtId="9" fontId="0" fillId="0" borderId="0"/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/>
    <xf numFmtId="0" fontId="19" fillId="0" borderId="0" applyNumberFormat="0" applyFill="0" applyBorder="0" applyAlignment="0" applyProtection="0">
      <alignment vertical="center"/>
    </xf>
    <xf numFmtId="0" fontId="17" fillId="15" borderId="1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6" borderId="18" applyNumberFormat="0" applyAlignment="0" applyProtection="0">
      <alignment vertical="center"/>
    </xf>
    <xf numFmtId="0" fontId="27" fillId="17" borderId="19" applyNumberFormat="0" applyAlignment="0" applyProtection="0">
      <alignment vertical="center"/>
    </xf>
    <xf numFmtId="0" fontId="28" fillId="17" borderId="18" applyNumberFormat="0" applyAlignment="0" applyProtection="0">
      <alignment vertical="center"/>
    </xf>
    <xf numFmtId="0" fontId="29" fillId="18" borderId="20" applyNumberFormat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/>
    <xf numFmtId="0" fontId="34" fillId="21" borderId="0"/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176" fontId="1" fillId="0" borderId="0"/>
    <xf numFmtId="0" fontId="37" fillId="0" borderId="0"/>
    <xf numFmtId="0" fontId="38" fillId="0" borderId="0">
      <alignment vertical="top"/>
    </xf>
    <xf numFmtId="0" fontId="1" fillId="0" borderId="0"/>
  </cellStyleXfs>
  <cellXfs count="118">
    <xf numFmtId="0" fontId="0" fillId="0" borderId="0" xfId="0"/>
    <xf numFmtId="0" fontId="1" fillId="0" borderId="0" xfId="52"/>
    <xf numFmtId="0" fontId="2" fillId="0" borderId="0" xfId="52" applyFont="1"/>
    <xf numFmtId="58" fontId="1" fillId="2" borderId="0" xfId="52" applyNumberFormat="1" applyFill="1"/>
    <xf numFmtId="0" fontId="1" fillId="0" borderId="0" xfId="0" applyFont="1"/>
    <xf numFmtId="0" fontId="2" fillId="3" borderId="0" xfId="52" applyFont="1" applyFill="1"/>
    <xf numFmtId="0" fontId="1" fillId="3" borderId="0" xfId="52" applyFill="1"/>
    <xf numFmtId="176" fontId="1" fillId="0" borderId="0" xfId="52" applyNumberFormat="1"/>
    <xf numFmtId="58" fontId="1" fillId="4" borderId="0" xfId="52" applyNumberFormat="1" applyFill="1"/>
    <xf numFmtId="0" fontId="3" fillId="0" borderId="0" xfId="52" applyFont="1"/>
    <xf numFmtId="0" fontId="1" fillId="0" borderId="0" xfId="52" applyAlignment="1">
      <alignment horizontal="right"/>
    </xf>
    <xf numFmtId="0" fontId="1" fillId="0" borderId="0" xfId="52" applyAlignment="1">
      <alignment horizontal="left" indent="2"/>
    </xf>
    <xf numFmtId="58" fontId="1" fillId="0" borderId="0" xfId="52" applyNumberFormat="1" applyAlignment="1">
      <alignment horizontal="right"/>
    </xf>
    <xf numFmtId="9" fontId="1" fillId="0" borderId="0" xfId="52" applyNumberFormat="1"/>
    <xf numFmtId="10" fontId="1" fillId="0" borderId="0" xfId="3" applyNumberFormat="1" applyFont="1"/>
    <xf numFmtId="0" fontId="1" fillId="0" borderId="0" xfId="52" applyAlignment="1">
      <alignment horizontal="center"/>
    </xf>
    <xf numFmtId="58" fontId="1" fillId="0" borderId="0" xfId="52" applyNumberFormat="1" applyAlignment="1">
      <alignment horizontal="center"/>
    </xf>
    <xf numFmtId="176" fontId="1" fillId="5" borderId="0" xfId="52" applyNumberFormat="1" applyFill="1"/>
    <xf numFmtId="0" fontId="1" fillId="6" borderId="0" xfId="52" applyFill="1"/>
    <xf numFmtId="0" fontId="1" fillId="7" borderId="0" xfId="52" applyFill="1" applyAlignment="1">
      <alignment horizontal="right"/>
    </xf>
    <xf numFmtId="0" fontId="1" fillId="6" borderId="0" xfId="52" applyFill="1" applyAlignment="1">
      <alignment horizontal="left" indent="2"/>
    </xf>
    <xf numFmtId="58" fontId="1" fillId="8" borderId="0" xfId="52" applyNumberFormat="1" applyFill="1" applyAlignment="1">
      <alignment horizontal="right"/>
    </xf>
    <xf numFmtId="176" fontId="1" fillId="9" borderId="0" xfId="52" applyNumberFormat="1" applyFill="1"/>
    <xf numFmtId="0" fontId="1" fillId="3" borderId="0" xfId="52" applyFill="1" applyAlignment="1">
      <alignment horizontal="left" indent="2"/>
    </xf>
    <xf numFmtId="0" fontId="1" fillId="10" borderId="0" xfId="52" applyFill="1"/>
    <xf numFmtId="10" fontId="1" fillId="10" borderId="0" xfId="3" applyNumberFormat="1" applyFont="1" applyFill="1"/>
    <xf numFmtId="0" fontId="2" fillId="11" borderId="0" xfId="52" applyFont="1" applyFill="1"/>
    <xf numFmtId="0" fontId="1" fillId="12" borderId="0" xfId="52" applyFill="1" applyAlignment="1">
      <alignment horizontal="center"/>
    </xf>
    <xf numFmtId="176" fontId="1" fillId="13" borderId="0" xfId="52" applyNumberFormat="1" applyFill="1"/>
    <xf numFmtId="176" fontId="1" fillId="3" borderId="0" xfId="52" applyNumberFormat="1" applyFill="1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/>
    </xf>
    <xf numFmtId="176" fontId="4" fillId="0" borderId="0" xfId="1" applyFont="1"/>
    <xf numFmtId="178" fontId="4" fillId="0" borderId="0" xfId="1" applyNumberFormat="1" applyFont="1"/>
    <xf numFmtId="0" fontId="4" fillId="0" borderId="0" xfId="0" applyFont="1" applyAlignment="1">
      <alignment horizontal="left"/>
    </xf>
    <xf numFmtId="176" fontId="5" fillId="0" borderId="0" xfId="23" applyNumberFormat="1" applyFont="1" applyFill="1" applyAlignment="1">
      <alignment horizontal="center"/>
    </xf>
    <xf numFmtId="0" fontId="6" fillId="0" borderId="0" xfId="0" applyFont="1" applyAlignment="1">
      <alignment wrapText="1"/>
    </xf>
    <xf numFmtId="0" fontId="6" fillId="0" borderId="0" xfId="1" applyNumberFormat="1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1" applyNumberFormat="1" applyFont="1" applyAlignment="1">
      <alignment horizontal="left" wrapText="1"/>
    </xf>
    <xf numFmtId="0" fontId="8" fillId="0" borderId="0" xfId="23" applyFont="1" applyFill="1" applyAlignment="1">
      <alignment horizontal="left" wrapText="1"/>
    </xf>
    <xf numFmtId="0" fontId="4" fillId="0" borderId="0" xfId="51" applyFont="1">
      <alignment vertical="top"/>
    </xf>
    <xf numFmtId="58" fontId="4" fillId="0" borderId="0" xfId="51" applyNumberFormat="1" applyFont="1" applyAlignment="1">
      <alignment horizontal="center" vertical="top"/>
    </xf>
    <xf numFmtId="58" fontId="4" fillId="0" borderId="0" xfId="51" applyNumberFormat="1" applyFont="1">
      <alignment vertical="top"/>
    </xf>
    <xf numFmtId="0" fontId="5" fillId="0" borderId="0" xfId="23" applyFont="1" applyFill="1" applyAlignment="1">
      <alignment horizontal="left" vertical="top"/>
    </xf>
    <xf numFmtId="0" fontId="4" fillId="0" borderId="0" xfId="51" applyFont="1" applyAlignment="1">
      <alignment horizontal="left" vertical="top"/>
    </xf>
    <xf numFmtId="9" fontId="9" fillId="0" borderId="0" xfId="3" applyFont="1" applyAlignment="1">
      <alignment horizontal="center"/>
    </xf>
    <xf numFmtId="176" fontId="9" fillId="0" borderId="0" xfId="1" applyFont="1"/>
    <xf numFmtId="176" fontId="9" fillId="0" borderId="0" xfId="23" applyNumberFormat="1" applyFont="1" applyFill="1"/>
    <xf numFmtId="176" fontId="9" fillId="0" borderId="0" xfId="23" applyNumberFormat="1" applyFont="1" applyFill="1" applyAlignment="1">
      <alignment horizontal="center"/>
    </xf>
    <xf numFmtId="0" fontId="9" fillId="0" borderId="0" xfId="24" applyFont="1" applyFill="1" applyAlignment="1">
      <alignment horizontal="center"/>
    </xf>
    <xf numFmtId="0" fontId="10" fillId="0" borderId="0" xfId="6" applyFont="1"/>
    <xf numFmtId="176" fontId="4" fillId="0" borderId="0" xfId="0" applyNumberFormat="1" applyFont="1"/>
    <xf numFmtId="0" fontId="4" fillId="0" borderId="0" xfId="50" applyFont="1" applyAlignment="1">
      <alignment vertical="center"/>
    </xf>
    <xf numFmtId="0" fontId="4" fillId="0" borderId="0" xfId="23" applyFont="1" applyFill="1"/>
    <xf numFmtId="58" fontId="4" fillId="0" borderId="0" xfId="0" applyNumberFormat="1" applyFont="1" applyAlignment="1">
      <alignment horizontal="left"/>
    </xf>
    <xf numFmtId="0" fontId="5" fillId="0" borderId="0" xfId="51" applyFont="1">
      <alignment vertical="top"/>
    </xf>
    <xf numFmtId="176" fontId="4" fillId="0" borderId="0" xfId="1" applyFont="1" applyAlignment="1">
      <alignment vertical="top"/>
    </xf>
    <xf numFmtId="0" fontId="9" fillId="0" borderId="0" xfId="0" applyFont="1" applyAlignment="1">
      <alignment horizontal="center"/>
    </xf>
    <xf numFmtId="0" fontId="5" fillId="0" borderId="0" xfId="23" applyFont="1" applyFill="1" applyAlignment="1">
      <alignment horizontal="left"/>
    </xf>
    <xf numFmtId="58" fontId="4" fillId="0" borderId="0" xfId="1" applyNumberFormat="1" applyFont="1"/>
    <xf numFmtId="0" fontId="1" fillId="0" borderId="0" xfId="52" applyAlignment="1">
      <alignment horizontal="center" vertical="center"/>
    </xf>
    <xf numFmtId="0" fontId="11" fillId="0" borderId="0" xfId="52" applyFont="1" applyAlignment="1">
      <alignment horizontal="left"/>
    </xf>
    <xf numFmtId="0" fontId="12" fillId="14" borderId="0" xfId="52" applyFont="1" applyFill="1"/>
    <xf numFmtId="179" fontId="2" fillId="0" borderId="1" xfId="49" applyNumberFormat="1" applyFont="1" applyBorder="1" applyAlignment="1">
      <alignment horizontal="center" vertical="center"/>
    </xf>
    <xf numFmtId="0" fontId="2" fillId="0" borderId="1" xfId="52" applyFont="1" applyBorder="1" applyAlignment="1">
      <alignment horizontal="center"/>
    </xf>
    <xf numFmtId="0" fontId="2" fillId="14" borderId="1" xfId="52" applyFont="1" applyFill="1" applyBorder="1" applyAlignment="1">
      <alignment horizontal="center"/>
    </xf>
    <xf numFmtId="0" fontId="0" fillId="0" borderId="2" xfId="0" applyBorder="1"/>
    <xf numFmtId="0" fontId="2" fillId="14" borderId="3" xfId="52" applyFont="1" applyFill="1" applyBorder="1" applyAlignment="1">
      <alignment horizontal="center"/>
    </xf>
    <xf numFmtId="0" fontId="0" fillId="0" borderId="4" xfId="0" applyBorder="1"/>
    <xf numFmtId="0" fontId="13" fillId="0" borderId="5" xfId="52" applyFont="1" applyBorder="1" applyAlignment="1">
      <alignment horizontal="center"/>
    </xf>
    <xf numFmtId="0" fontId="0" fillId="0" borderId="6" xfId="0" applyBorder="1"/>
    <xf numFmtId="0" fontId="2" fillId="0" borderId="7" xfId="52" applyFont="1" applyBorder="1" applyAlignment="1">
      <alignment horizontal="center" vertical="center"/>
    </xf>
    <xf numFmtId="0" fontId="2" fillId="14" borderId="7" xfId="52" applyFont="1" applyFill="1" applyBorder="1" applyAlignment="1">
      <alignment horizontal="center" vertical="center" wrapText="1"/>
    </xf>
    <xf numFmtId="0" fontId="2" fillId="3" borderId="7" xfId="52" applyFont="1" applyFill="1" applyBorder="1" applyAlignment="1">
      <alignment horizontal="center" vertical="center" wrapText="1"/>
    </xf>
    <xf numFmtId="0" fontId="2" fillId="3" borderId="8" xfId="52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" xfId="52" applyFont="1" applyBorder="1" applyAlignment="1">
      <alignment horizontal="center"/>
    </xf>
    <xf numFmtId="179" fontId="0" fillId="0" borderId="1" xfId="49" applyNumberFormat="1" applyFont="1" applyBorder="1" applyAlignment="1">
      <alignment horizontal="center"/>
    </xf>
    <xf numFmtId="179" fontId="0" fillId="0" borderId="1" xfId="52" applyNumberFormat="1" applyFont="1" applyBorder="1" applyAlignment="1">
      <alignment horizontal="right"/>
    </xf>
    <xf numFmtId="179" fontId="0" fillId="14" borderId="1" xfId="52" applyNumberFormat="1" applyFont="1" applyFill="1" applyBorder="1" applyAlignment="1">
      <alignment horizontal="right"/>
    </xf>
    <xf numFmtId="179" fontId="0" fillId="3" borderId="1" xfId="52" applyNumberFormat="1" applyFont="1" applyFill="1" applyBorder="1" applyAlignment="1">
      <alignment horizontal="right"/>
    </xf>
    <xf numFmtId="179" fontId="0" fillId="14" borderId="1" xfId="52" applyNumberFormat="1" applyFont="1" applyFill="1" applyBorder="1" applyAlignment="1">
      <alignment horizontal="center"/>
    </xf>
    <xf numFmtId="179" fontId="0" fillId="3" borderId="3" xfId="52" applyNumberFormat="1" applyFont="1" applyFill="1" applyBorder="1" applyAlignment="1">
      <alignment horizontal="center"/>
    </xf>
    <xf numFmtId="0" fontId="14" fillId="0" borderId="5" xfId="52" applyFont="1" applyBorder="1" applyAlignment="1">
      <alignment horizontal="center"/>
    </xf>
    <xf numFmtId="179" fontId="4" fillId="0" borderId="1" xfId="49" applyNumberFormat="1" applyFont="1" applyBorder="1" applyAlignment="1">
      <alignment horizontal="center"/>
    </xf>
    <xf numFmtId="179" fontId="14" fillId="0" borderId="5" xfId="52" applyNumberFormat="1" applyFont="1" applyBorder="1" applyAlignment="1">
      <alignment horizontal="center"/>
    </xf>
    <xf numFmtId="179" fontId="1" fillId="0" borderId="0" xfId="52" applyNumberFormat="1" applyAlignment="1">
      <alignment horizontal="center"/>
    </xf>
    <xf numFmtId="179" fontId="0" fillId="0" borderId="0" xfId="49" applyNumberFormat="1" applyFont="1" applyAlignment="1">
      <alignment horizontal="right"/>
    </xf>
    <xf numFmtId="179" fontId="1" fillId="0" borderId="0" xfId="52" applyNumberFormat="1" applyAlignment="1">
      <alignment horizontal="right"/>
    </xf>
    <xf numFmtId="0" fontId="2" fillId="0" borderId="0" xfId="52" applyFont="1" applyAlignment="1">
      <alignment horizontal="left"/>
    </xf>
    <xf numFmtId="0" fontId="1" fillId="0" borderId="1" xfId="52" applyBorder="1" applyAlignment="1">
      <alignment horizontal="center" vertical="center"/>
    </xf>
    <xf numFmtId="0" fontId="0" fillId="0" borderId="10" xfId="0" applyBorder="1"/>
    <xf numFmtId="0" fontId="15" fillId="0" borderId="4" xfId="52" applyFont="1" applyBorder="1" applyAlignment="1">
      <alignment horizontal="center"/>
    </xf>
    <xf numFmtId="0" fontId="2" fillId="0" borderId="11" xfId="52" applyFont="1" applyBorder="1" applyAlignment="1">
      <alignment horizontal="center"/>
    </xf>
    <xf numFmtId="0" fontId="1" fillId="0" borderId="5" xfId="52" applyBorder="1" applyAlignment="1">
      <alignment horizontal="center"/>
    </xf>
    <xf numFmtId="0" fontId="1" fillId="14" borderId="0" xfId="52" applyFill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2" fillId="14" borderId="1" xfId="52" applyFont="1" applyFill="1" applyBorder="1" applyAlignment="1">
      <alignment horizontal="center" vertical="center"/>
    </xf>
    <xf numFmtId="0" fontId="2" fillId="14" borderId="1" xfId="52" applyFont="1" applyFill="1" applyBorder="1" applyAlignment="1">
      <alignment horizontal="center" vertical="center" wrapText="1"/>
    </xf>
    <xf numFmtId="0" fontId="2" fillId="3" borderId="1" xfId="52" applyFont="1" applyFill="1" applyBorder="1" applyAlignment="1">
      <alignment horizontal="center" vertical="center" wrapText="1"/>
    </xf>
    <xf numFmtId="0" fontId="16" fillId="3" borderId="1" xfId="52" applyFont="1" applyFill="1" applyBorder="1" applyAlignment="1">
      <alignment horizontal="center" vertical="center" wrapText="1"/>
    </xf>
    <xf numFmtId="0" fontId="2" fillId="3" borderId="12" xfId="52" applyFont="1" applyFill="1" applyBorder="1" applyAlignment="1">
      <alignment horizontal="center" vertical="center" wrapText="1"/>
    </xf>
    <xf numFmtId="0" fontId="1" fillId="0" borderId="5" xfId="52" applyBorder="1" applyAlignment="1">
      <alignment horizontal="center" vertical="center"/>
    </xf>
    <xf numFmtId="0" fontId="1" fillId="14" borderId="0" xfId="52" applyFill="1" applyAlignment="1">
      <alignment horizontal="center"/>
    </xf>
    <xf numFmtId="0" fontId="1" fillId="14" borderId="1" xfId="52" applyFill="1" applyBorder="1" applyAlignment="1">
      <alignment horizontal="center"/>
    </xf>
    <xf numFmtId="179" fontId="0" fillId="14" borderId="1" xfId="49" applyNumberFormat="1" applyFont="1" applyFill="1" applyBorder="1" applyAlignment="1">
      <alignment horizontal="left"/>
    </xf>
    <xf numFmtId="179" fontId="1" fillId="14" borderId="7" xfId="52" applyNumberFormat="1" applyFill="1" applyBorder="1" applyAlignment="1">
      <alignment horizontal="right"/>
    </xf>
    <xf numFmtId="179" fontId="1" fillId="3" borderId="7" xfId="52" applyNumberFormat="1" applyFill="1" applyBorder="1" applyAlignment="1">
      <alignment horizontal="center"/>
    </xf>
    <xf numFmtId="179" fontId="1" fillId="3" borderId="8" xfId="52" applyNumberFormat="1" applyFill="1" applyBorder="1" applyAlignment="1">
      <alignment horizontal="center"/>
    </xf>
    <xf numFmtId="0" fontId="1" fillId="0" borderId="14" xfId="52" applyBorder="1" applyAlignment="1">
      <alignment horizontal="center"/>
    </xf>
    <xf numFmtId="179" fontId="0" fillId="14" borderId="3" xfId="49" applyNumberFormat="1" applyFont="1" applyFill="1" applyBorder="1" applyAlignment="1">
      <alignment horizontal="left"/>
    </xf>
    <xf numFmtId="179" fontId="1" fillId="14" borderId="5" xfId="52" applyNumberFormat="1" applyFill="1" applyBorder="1" applyAlignment="1">
      <alignment horizontal="right"/>
    </xf>
    <xf numFmtId="179" fontId="1" fillId="3" borderId="5" xfId="52" applyNumberFormat="1" applyFill="1" applyBorder="1" applyAlignment="1">
      <alignment horizontal="center"/>
    </xf>
    <xf numFmtId="2" fontId="1" fillId="0" borderId="5" xfId="52" applyNumberFormat="1" applyBorder="1" applyAlignment="1">
      <alignment horizontal="left" indent="1"/>
    </xf>
    <xf numFmtId="0" fontId="0" fillId="0" borderId="0" xfId="0" applyAlignment="1">
      <alignment horizontal="left" vertical="top" wrapText="1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11 2 2" xfId="50"/>
    <cellStyle name="Normal 188 2" xfId="51"/>
    <cellStyle name="Normal 2" xfId="52"/>
  </cellStyles>
  <dxfs count="25">
    <dxf>
      <font>
        <name val="Arial"/>
        <scheme val="none"/>
        <family val="2"/>
        <strike val="0"/>
        <sz val="11"/>
        <color auto="1"/>
      </font>
      <fill>
        <patternFill patternType="none"/>
      </fill>
    </dxf>
    <dxf>
      <font>
        <name val="Arial"/>
        <scheme val="none"/>
        <family val="2"/>
        <strike val="0"/>
        <sz val="11"/>
        <color auto="1"/>
      </font>
      <fill>
        <patternFill patternType="none"/>
      </fill>
    </dxf>
    <dxf>
      <font>
        <name val="Arial"/>
        <scheme val="none"/>
        <family val="2"/>
        <strike val="0"/>
        <sz val="11"/>
        <color auto="1"/>
      </font>
      <fill>
        <patternFill patternType="none"/>
      </fill>
    </dxf>
    <dxf>
      <font>
        <name val="Arial"/>
        <scheme val="none"/>
        <family val="2"/>
        <strike val="0"/>
        <sz val="11"/>
        <color auto="1"/>
      </font>
      <fill>
        <patternFill patternType="none"/>
      </fill>
    </dxf>
    <dxf>
      <font>
        <name val="Arial"/>
        <scheme val="none"/>
        <family val="2"/>
        <strike val="0"/>
        <sz val="11"/>
        <color auto="1"/>
      </font>
      <numFmt numFmtId="180" formatCode="dd/mm/yyyy"/>
      <fill>
        <patternFill patternType="none"/>
      </fill>
      <alignment horizontal="center" vertical="top"/>
    </dxf>
    <dxf>
      <font>
        <name val="Arial"/>
        <scheme val="none"/>
        <family val="2"/>
        <strike val="0"/>
        <sz val="11"/>
        <color auto="1"/>
      </font>
      <numFmt numFmtId="181" formatCode="dd/mm/yyyy"/>
      <fill>
        <patternFill patternType="none"/>
      </fill>
      <alignment horizontal="center" vertical="top"/>
    </dxf>
    <dxf>
      <font>
        <name val="Arial"/>
        <scheme val="none"/>
        <family val="2"/>
        <strike val="0"/>
        <sz val="11"/>
        <color auto="1"/>
      </font>
      <numFmt numFmtId="182" formatCode="dd/mm/yyyy"/>
      <fill>
        <patternFill patternType="none"/>
      </fill>
    </dxf>
    <dxf>
      <font>
        <name val="Arial"/>
        <scheme val="none"/>
        <family val="2"/>
        <strike val="0"/>
        <sz val="11"/>
        <color auto="1"/>
      </font>
      <fill>
        <patternFill patternType="none"/>
      </fill>
    </dxf>
    <dxf>
      <font>
        <name val="Arial"/>
        <scheme val="none"/>
        <family val="2"/>
        <strike val="0"/>
        <sz val="11"/>
        <color auto="1"/>
      </font>
      <numFmt numFmtId="178" formatCode="_-* #,##0_-;\-* #,##0_-;_-* &quot;-&quot;??_-;_-@_-"/>
      <fill>
        <patternFill patternType="none"/>
      </fill>
    </dxf>
    <dxf>
      <font>
        <name val="Arial"/>
        <scheme val="none"/>
        <family val="2"/>
        <strike val="0"/>
        <sz val="11"/>
        <color auto="1"/>
      </font>
      <fill>
        <patternFill patternType="none"/>
      </fill>
    </dxf>
    <dxf>
      <font>
        <name val="Arial"/>
        <scheme val="none"/>
        <family val="2"/>
        <strike val="0"/>
        <sz val="11"/>
        <color auto="1"/>
      </font>
      <fill>
        <patternFill patternType="none"/>
      </fill>
    </dxf>
    <dxf>
      <font>
        <name val="Arial"/>
        <scheme val="none"/>
        <family val="2"/>
        <strike val="0"/>
        <sz val="11"/>
        <color rgb="FF0000CC"/>
      </font>
      <fill>
        <patternFill patternType="none"/>
      </fill>
      <alignment horizontal="left"/>
    </dxf>
    <dxf>
      <font>
        <name val="Arial"/>
        <scheme val="none"/>
        <family val="2"/>
        <strike val="0"/>
        <sz val="11"/>
        <color auto="1"/>
      </font>
      <fill>
        <patternFill patternType="none"/>
      </fill>
      <alignment horizontal="left"/>
    </dxf>
    <dxf>
      <font>
        <name val="Arial"/>
        <scheme val="none"/>
        <family val="2"/>
        <strike val="0"/>
        <sz val="11"/>
        <color auto="1"/>
      </font>
      <fill>
        <patternFill patternType="none"/>
      </fill>
      <alignment vertical="top"/>
    </dxf>
    <dxf>
      <font>
        <name val="Arial"/>
        <scheme val="none"/>
        <family val="2"/>
        <strike val="0"/>
        <sz val="11"/>
        <color rgb="FF0070C0"/>
      </font>
      <fill>
        <patternFill patternType="none"/>
      </fill>
      <alignment horizontal="center"/>
    </dxf>
    <dxf>
      <font>
        <name val="Arial"/>
        <scheme val="none"/>
        <family val="2"/>
        <strike val="0"/>
        <sz val="11"/>
        <color rgb="FF0070C0"/>
      </font>
      <numFmt numFmtId="176" formatCode="_-* #,##0.00_-;\-* #,##0.00_-;_-* &quot;-&quot;??_-;_-@_-"/>
      <fill>
        <patternFill patternType="none"/>
      </fill>
    </dxf>
    <dxf>
      <font>
        <name val="Arial"/>
        <scheme val="none"/>
        <family val="2"/>
        <strike val="0"/>
        <sz val="11"/>
        <color rgb="FF0070C0"/>
      </font>
      <numFmt numFmtId="176" formatCode="_-* #,##0.00_-;\-* #,##0.00_-;_-* &quot;-&quot;??_-;_-@_-"/>
      <fill>
        <patternFill patternType="none"/>
      </fill>
    </dxf>
    <dxf>
      <font>
        <name val="Arial"/>
        <scheme val="none"/>
        <family val="2"/>
        <strike val="0"/>
        <sz val="11"/>
        <color rgb="FF0070C0"/>
      </font>
      <numFmt numFmtId="176" formatCode="_-* #,##0.00_-;\-* #,##0.00_-;_-* &quot;-&quot;??_-;_-@_-"/>
      <fill>
        <patternFill patternType="none"/>
      </fill>
      <alignment horizontal="center"/>
    </dxf>
    <dxf>
      <font>
        <name val="Arial"/>
        <scheme val="none"/>
        <family val="2"/>
        <strike val="0"/>
        <sz val="11"/>
        <color rgb="FF0070C0"/>
      </font>
      <numFmt numFmtId="0" formatCode="General"/>
      <fill>
        <patternFill patternType="none"/>
      </fill>
      <alignment horizontal="center"/>
    </dxf>
    <dxf>
      <font>
        <name val="Arial"/>
        <scheme val="none"/>
        <family val="2"/>
        <strike val="0"/>
        <u val="single"/>
        <sz val="11"/>
        <color rgb="FF0070C0"/>
      </font>
      <numFmt numFmtId="0" formatCode="General"/>
      <fill>
        <patternFill patternType="none"/>
      </fill>
    </dxf>
    <dxf>
      <font>
        <name val="Arial"/>
        <scheme val="none"/>
        <family val="2"/>
        <strike val="0"/>
        <sz val="11"/>
        <color auto="1"/>
      </font>
      <fill>
        <patternFill patternType="none"/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ustomerList" displayName="CustomerList" ref="A1:U6" totalsRowShown="0">
  <autoFilter xmlns:etc="http://www.wps.cn/officeDocument/2017/etCustomData" ref="A1:U6" etc:filterBottomFollowUsedRange="0"/>
  <sortState ref="A1:U6">
    <sortCondition ref="B1:B6"/>
  </sortState>
  <tableColumns count="21">
    <tableColumn id="1" name="No" dataDxfId="0"/>
    <tableColumn id="2" name="Contract number" dataDxfId="1"/>
    <tableColumn id="3" name="Nature" dataDxfId="2"/>
    <tableColumn id="4" name="Customer" dataDxfId="3"/>
    <tableColumn id="5" name="Contract start" dataDxfId="4"/>
    <tableColumn id="6" name="Contract end" dataDxfId="5"/>
    <tableColumn id="7" name="Contract period" dataDxfId="6"/>
    <tableColumn id="8" name="Deposit" dataDxfId="7"/>
    <tableColumn id="9" name="Month of deposit" dataDxfId="8"/>
    <tableColumn id="10" name="Monthly rental" dataDxfId="9"/>
    <tableColumn id="11" name="Installation Date" dataDxfId="10"/>
    <tableColumn id="12" name="Product Type" dataDxfId="11"/>
    <tableColumn id="13" name="S/N Number" dataDxfId="12"/>
    <tableColumn id="15" name="Cost" dataDxfId="13"/>
    <tableColumn id="16" name="Rent at quoted price?" dataDxfId="14"/>
    <tableColumn id="17" name="Outright Price" dataDxfId="15"/>
    <tableColumn id="18" name="Maintenance Rate" dataDxfId="16">
      <calculatedColumnFormula>IFERROR(IF(SEARCH("ice machine",CustomerList[[#This Row],[Nature]]),2288,0),IF(SEARCH("Dishwasher",CustomerList[[#This Row],[Nature]]),((LEFT(CustomerList[[#This Row],[Contract period]],2)/12*6-1)*507/(LEFT(CustomerList[[#This Row],[Contract period]],2)/12)),0))</calculatedColumnFormula>
    </tableColumn>
    <tableColumn id="23" name="Dishwasher - with Detergent?" dataDxfId="17"/>
    <tableColumn id="20" name="Maintenance covered" dataDxfId="18">
      <calculatedColumnFormula>IF(ISNUMBER(SEARCH("Rental",C2)),"1 year",IF(ISNUMBER(SEARCH("Rent-to-own",CustomerList[[#This Row],[Nature]])),LEFT(G2,2)/12&amp;" years","Check"))</calculatedColumnFormula>
    </tableColumn>
    <tableColumn id="24" name="Hyperlink to PV Schedule" dataDxfId="19">
      <calculatedColumnFormula>HYPERLINK("#'"&amp;B2&amp;"'!A1","Go to contract")</calculatedColumnFormula>
    </tableColumn>
    <tableColumn id="21" name="Remarks" dataDxfId="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A2" sqref="A2"/>
    </sheetView>
  </sheetViews>
  <sheetFormatPr defaultColWidth="8.83333333333333" defaultRowHeight="13.8" outlineLevelRow="6"/>
  <sheetData>
    <row r="1" spans="1:15">
      <c r="A1" t="s">
        <v>0</v>
      </c>
    </row>
    <row r="2" spans="1:15">
      <c r="A2" t="s">
        <v>1</v>
      </c>
    </row>
    <row r="5" spans="1:15">
      <c r="A5" s="117" t="s">
        <v>2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</row>
    <row r="6" spans="1:15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</row>
    <row r="7" spans="1:15">
      <c r="A7" s="117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</row>
  </sheetData>
  <mergeCells count="1">
    <mergeCell ref="A5:O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20"/>
  <sheetViews>
    <sheetView zoomScale="90" zoomScaleNormal="90" workbookViewId="0">
      <selection activeCell="M13" sqref="M13"/>
    </sheetView>
  </sheetViews>
  <sheetFormatPr defaultColWidth="7.83333333333333" defaultRowHeight="14.4"/>
  <cols>
    <col min="1" max="1" width="3.66666666666667" style="15" customWidth="1"/>
    <col min="2" max="2" width="6" style="15" customWidth="1"/>
    <col min="3" max="3" width="16.6666666666667" style="15" customWidth="1"/>
    <col min="4" max="4" width="18.8333333333333" style="15" customWidth="1"/>
    <col min="5" max="5" width="12.3333333333333" style="15" customWidth="1"/>
    <col min="6" max="6" width="13.3333333333333" style="15" customWidth="1"/>
    <col min="7" max="7" width="13" style="15" customWidth="1"/>
    <col min="8" max="9" width="12.3333333333333" style="15" customWidth="1"/>
    <col min="10" max="10" width="14.5" style="15" customWidth="1"/>
    <col min="11" max="17" width="10.1666666666667" style="15" customWidth="1"/>
    <col min="18" max="22" width="7.83333333333333" style="15" customWidth="1"/>
    <col min="23" max="16384" width="7.83333333333333" style="15"/>
  </cols>
  <sheetData>
    <row r="2" ht="29.25" customHeight="1" spans="1:13">
      <c r="B2" s="63" t="s">
        <v>3</v>
      </c>
    </row>
    <row r="3" ht="12.75" customHeight="1" spans="1:13">
      <c r="C3" s="64"/>
      <c r="D3" s="64"/>
      <c r="E3" s="64"/>
      <c r="F3" s="64"/>
      <c r="G3" s="64"/>
      <c r="H3" s="64"/>
      <c r="I3" s="64"/>
      <c r="J3" s="64"/>
    </row>
    <row r="4" spans="1:13">
      <c r="B4" s="65" t="s">
        <v>4</v>
      </c>
      <c r="C4" s="65" t="s">
        <v>5</v>
      </c>
      <c r="D4" s="65" t="s">
        <v>6</v>
      </c>
      <c r="E4" s="66" t="s">
        <v>7</v>
      </c>
      <c r="F4" s="66" t="s">
        <v>8</v>
      </c>
      <c r="G4" s="67" t="s">
        <v>9</v>
      </c>
      <c r="H4" s="68"/>
      <c r="I4" s="69" t="s">
        <v>10</v>
      </c>
      <c r="J4" s="70"/>
      <c r="K4" s="71" t="s">
        <v>11</v>
      </c>
    </row>
    <row r="5" s="62" customFormat="1" ht="33.75" customHeight="1" spans="1:13">
      <c r="B5" s="72"/>
      <c r="C5" s="72"/>
      <c r="D5" s="72"/>
      <c r="E5" s="73" t="s">
        <v>12</v>
      </c>
      <c r="F5" s="73" t="s">
        <v>13</v>
      </c>
      <c r="G5" s="74" t="s">
        <v>14</v>
      </c>
      <c r="H5" s="75" t="s">
        <v>15</v>
      </c>
      <c r="I5" s="74" t="s">
        <v>16</v>
      </c>
      <c r="J5" s="76" t="s">
        <v>17</v>
      </c>
      <c r="K5" s="77"/>
    </row>
    <row r="6" spans="1:13">
      <c r="B6" s="78">
        <v>1</v>
      </c>
      <c r="C6" s="79" t="s">
        <v>18</v>
      </c>
      <c r="D6" s="79" t="s">
        <v>19</v>
      </c>
      <c r="E6" s="80">
        <v>0</v>
      </c>
      <c r="F6" s="80">
        <v>0</v>
      </c>
      <c r="G6" s="81">
        <v>0</v>
      </c>
      <c r="H6" s="82">
        <v>0</v>
      </c>
      <c r="I6" s="83">
        <v>5899</v>
      </c>
      <c r="J6" s="84">
        <v>6599</v>
      </c>
      <c r="K6" s="85" t="s">
        <v>20</v>
      </c>
    </row>
    <row r="7" spans="1:13">
      <c r="B7" s="78">
        <v>2</v>
      </c>
      <c r="C7" s="79" t="s">
        <v>21</v>
      </c>
      <c r="D7" s="79" t="s">
        <v>19</v>
      </c>
      <c r="E7" s="80">
        <v>0</v>
      </c>
      <c r="F7" s="80">
        <v>0</v>
      </c>
      <c r="G7" s="81">
        <v>369</v>
      </c>
      <c r="H7" s="82">
        <v>399</v>
      </c>
      <c r="I7" s="83">
        <v>6599</v>
      </c>
      <c r="J7" s="84">
        <v>7599</v>
      </c>
      <c r="K7" s="85" t="s">
        <v>22</v>
      </c>
    </row>
    <row r="8" spans="1:13">
      <c r="B8" s="78">
        <v>3</v>
      </c>
      <c r="C8" s="86" t="s">
        <v>23</v>
      </c>
      <c r="D8" s="79" t="s">
        <v>24</v>
      </c>
      <c r="E8" s="80">
        <v>699</v>
      </c>
      <c r="F8" s="80">
        <v>679</v>
      </c>
      <c r="G8" s="81">
        <v>639</v>
      </c>
      <c r="H8" s="82">
        <v>639</v>
      </c>
      <c r="I8" s="83">
        <v>10999</v>
      </c>
      <c r="J8" s="84">
        <v>12999</v>
      </c>
      <c r="K8" s="87" t="s">
        <v>25</v>
      </c>
    </row>
    <row r="9" spans="1:13">
      <c r="B9" s="78">
        <v>4</v>
      </c>
      <c r="C9" s="86" t="s">
        <v>26</v>
      </c>
      <c r="D9" s="79" t="s">
        <v>24</v>
      </c>
      <c r="E9" s="80">
        <v>1199</v>
      </c>
      <c r="F9" s="80">
        <v>999</v>
      </c>
      <c r="G9" s="81">
        <v>799</v>
      </c>
      <c r="H9" s="82">
        <v>999</v>
      </c>
      <c r="I9" s="83">
        <v>12999</v>
      </c>
      <c r="J9" s="84">
        <v>14999</v>
      </c>
      <c r="K9" s="87" t="s">
        <v>27</v>
      </c>
      <c r="L9" s="88"/>
      <c r="M9" s="88"/>
    </row>
    <row r="10" spans="1:13">
      <c r="B10" s="78">
        <v>5</v>
      </c>
      <c r="C10" s="86" t="s">
        <v>28</v>
      </c>
      <c r="D10" s="86" t="s">
        <v>29</v>
      </c>
      <c r="E10" s="80">
        <v>2099</v>
      </c>
      <c r="F10" s="80">
        <v>1699</v>
      </c>
      <c r="G10" s="81">
        <v>1199</v>
      </c>
      <c r="H10" s="82">
        <v>1299</v>
      </c>
      <c r="I10" s="83">
        <v>21999</v>
      </c>
      <c r="J10" s="84">
        <v>24999</v>
      </c>
      <c r="K10" s="85" t="s">
        <v>30</v>
      </c>
    </row>
    <row r="12" spans="1:13">
      <c r="C12" s="89"/>
      <c r="D12" s="89"/>
      <c r="E12" s="90"/>
      <c r="F12" s="90"/>
      <c r="G12" s="90"/>
      <c r="H12" s="90"/>
      <c r="I12" s="90"/>
      <c r="J12" s="88"/>
    </row>
    <row r="13" ht="24" customHeight="1" spans="1:13">
      <c r="B13" s="63" t="s">
        <v>31</v>
      </c>
      <c r="C13" s="89"/>
      <c r="D13" s="89"/>
      <c r="E13" s="90"/>
      <c r="F13" s="90"/>
      <c r="G13" s="90"/>
      <c r="H13" s="90"/>
      <c r="I13" s="90"/>
      <c r="J13" s="88"/>
    </row>
    <row r="14" spans="1:13">
      <c r="C14" s="91"/>
    </row>
    <row r="15" ht="14.25" customHeight="1" spans="1:13">
      <c r="B15" s="92" t="s">
        <v>4</v>
      </c>
      <c r="C15" s="65" t="s">
        <v>5</v>
      </c>
      <c r="D15" s="93"/>
      <c r="E15" s="66" t="s">
        <v>7</v>
      </c>
      <c r="F15" s="66" t="s">
        <v>8</v>
      </c>
      <c r="G15" s="66" t="s">
        <v>9</v>
      </c>
      <c r="H15" s="68"/>
      <c r="I15" s="94" t="s">
        <v>9</v>
      </c>
      <c r="J15" s="95" t="s">
        <v>10</v>
      </c>
      <c r="K15" s="96"/>
    </row>
    <row r="16" s="62" customFormat="1" ht="45" customHeight="1" spans="1:13">
      <c r="A16" s="97"/>
      <c r="B16" s="72"/>
      <c r="C16" s="98"/>
      <c r="D16" s="99"/>
      <c r="E16" s="100" t="s">
        <v>12</v>
      </c>
      <c r="F16" s="100" t="s">
        <v>13</v>
      </c>
      <c r="G16" s="101" t="s">
        <v>32</v>
      </c>
      <c r="H16" s="102" t="s">
        <v>33</v>
      </c>
      <c r="I16" s="103" t="s">
        <v>34</v>
      </c>
      <c r="J16" s="104" t="s">
        <v>35</v>
      </c>
      <c r="K16" s="105" t="s">
        <v>36</v>
      </c>
    </row>
    <row r="17" s="62" customFormat="1" spans="1:17">
      <c r="A17" s="106"/>
      <c r="B17" s="107">
        <v>1</v>
      </c>
      <c r="C17" s="107" t="s">
        <v>37</v>
      </c>
      <c r="D17" s="108" t="s">
        <v>38</v>
      </c>
      <c r="E17" s="109">
        <v>0</v>
      </c>
      <c r="F17" s="109">
        <v>600</v>
      </c>
      <c r="G17" s="109">
        <v>350</v>
      </c>
      <c r="H17" s="110">
        <v>399</v>
      </c>
      <c r="I17" s="110">
        <v>300</v>
      </c>
      <c r="J17" s="111">
        <v>12888</v>
      </c>
      <c r="K17" s="112"/>
      <c r="L17" s="15"/>
      <c r="M17" s="15"/>
      <c r="N17" s="15"/>
      <c r="O17" s="15"/>
      <c r="P17" s="15"/>
      <c r="Q17" s="15"/>
    </row>
    <row r="18" spans="1:17">
      <c r="A18" s="106"/>
      <c r="B18" s="107">
        <v>2</v>
      </c>
      <c r="C18" s="107" t="s">
        <v>39</v>
      </c>
      <c r="D18" s="113" t="s">
        <v>40</v>
      </c>
      <c r="E18" s="114">
        <v>0</v>
      </c>
      <c r="F18" s="114">
        <v>888</v>
      </c>
      <c r="G18" s="114">
        <v>550</v>
      </c>
      <c r="H18" s="115">
        <v>699</v>
      </c>
      <c r="I18" s="115">
        <v>450</v>
      </c>
      <c r="J18" s="115">
        <v>16888</v>
      </c>
      <c r="K18" s="96"/>
    </row>
    <row r="19" spans="1:17">
      <c r="A19" s="106"/>
      <c r="B19" s="107">
        <v>4</v>
      </c>
      <c r="C19" s="107" t="s">
        <v>41</v>
      </c>
      <c r="D19" s="113" t="s">
        <v>42</v>
      </c>
      <c r="E19" s="114">
        <v>0</v>
      </c>
      <c r="F19" s="114">
        <v>2788</v>
      </c>
      <c r="G19" s="114">
        <v>1688</v>
      </c>
      <c r="H19" s="115">
        <v>1699</v>
      </c>
      <c r="I19" s="115">
        <v>1299</v>
      </c>
      <c r="J19" s="115">
        <v>48888</v>
      </c>
      <c r="K19" s="116"/>
    </row>
    <row r="20" spans="1:17">
      <c r="A20" s="106"/>
      <c r="B20" s="107">
        <v>5</v>
      </c>
      <c r="C20" s="107" t="s">
        <v>43</v>
      </c>
      <c r="D20" s="113" t="s">
        <v>44</v>
      </c>
      <c r="E20" s="114">
        <v>0</v>
      </c>
      <c r="F20" s="114">
        <v>4188</v>
      </c>
      <c r="G20" s="114">
        <v>2088</v>
      </c>
      <c r="H20" s="115">
        <v>2999</v>
      </c>
      <c r="I20" s="115">
        <v>1999</v>
      </c>
      <c r="J20" s="115">
        <v>68888</v>
      </c>
      <c r="K20" s="96"/>
    </row>
  </sheetData>
  <mergeCells count="10">
    <mergeCell ref="G4:H4"/>
    <mergeCell ref="I4:J4"/>
    <mergeCell ref="C14:J14"/>
    <mergeCell ref="G15:H15"/>
    <mergeCell ref="B4:B5"/>
    <mergeCell ref="B15:B16"/>
    <mergeCell ref="C4:C5"/>
    <mergeCell ref="D4:D5"/>
    <mergeCell ref="K4:K5"/>
    <mergeCell ref="C15:D1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"/>
  <sheetViews>
    <sheetView topLeftCell="K1" workbookViewId="0">
      <selection activeCell="C17" sqref="C17"/>
    </sheetView>
  </sheetViews>
  <sheetFormatPr defaultColWidth="9" defaultRowHeight="13.8"/>
  <cols>
    <col min="1" max="1" width="5.66666666666667" style="31" customWidth="1"/>
    <col min="2" max="2" width="16.8333333333333" style="31" customWidth="1"/>
    <col min="3" max="3" width="22.6666666666667" style="31" customWidth="1"/>
    <col min="4" max="4" width="30.5" style="31" customWidth="1"/>
    <col min="5" max="5" width="14.3333333333333" style="32" customWidth="1"/>
    <col min="6" max="6" width="13.5" style="32" customWidth="1"/>
    <col min="7" max="7" width="15.6666666666667" style="31" customWidth="1"/>
    <col min="8" max="8" width="10.6666666666667" style="33" customWidth="1"/>
    <col min="9" max="9" width="16.6666666666667" style="34" customWidth="1"/>
    <col min="10" max="10" width="14.5" style="33" customWidth="1"/>
    <col min="11" max="11" width="16.1666666666667" style="33" customWidth="1"/>
    <col min="12" max="12" width="14.6666666666667" style="35" customWidth="1"/>
    <col min="13" max="13" width="40.1666666666667" style="35" customWidth="1"/>
    <col min="14" max="14" width="12.5" style="33" customWidth="1"/>
    <col min="15" max="17" width="14.5" style="33" customWidth="1"/>
    <col min="18" max="18" width="15.5" style="36" customWidth="1"/>
    <col min="19" max="19" width="13.5" style="32" customWidth="1"/>
    <col min="20" max="20" width="13.5" style="31" customWidth="1"/>
    <col min="21" max="21" width="15.1666666666667" style="31" customWidth="1"/>
    <col min="22" max="22" width="16.5" style="31" customWidth="1"/>
    <col min="23" max="27" width="9" style="31" customWidth="1"/>
    <col min="28" max="16384" width="9" style="31"/>
  </cols>
  <sheetData>
    <row r="1" s="30" customFormat="1" ht="30" customHeight="1" spans="1:21">
      <c r="A1" s="37" t="s">
        <v>4</v>
      </c>
      <c r="B1" s="37" t="s">
        <v>45</v>
      </c>
      <c r="C1" s="37" t="s">
        <v>46</v>
      </c>
      <c r="D1" s="37" t="s">
        <v>47</v>
      </c>
      <c r="E1" s="37" t="s">
        <v>48</v>
      </c>
      <c r="F1" s="37" t="s">
        <v>49</v>
      </c>
      <c r="G1" s="37" t="s">
        <v>50</v>
      </c>
      <c r="H1" s="38" t="s">
        <v>51</v>
      </c>
      <c r="I1" s="38" t="s">
        <v>52</v>
      </c>
      <c r="J1" s="38" t="s">
        <v>53</v>
      </c>
      <c r="K1" s="38" t="s">
        <v>54</v>
      </c>
      <c r="L1" s="39" t="s">
        <v>55</v>
      </c>
      <c r="M1" s="37" t="s">
        <v>56</v>
      </c>
      <c r="N1" s="38" t="s">
        <v>36</v>
      </c>
      <c r="O1" s="40" t="s">
        <v>57</v>
      </c>
      <c r="P1" s="40" t="s">
        <v>58</v>
      </c>
      <c r="Q1" s="40" t="s">
        <v>59</v>
      </c>
      <c r="R1" s="41" t="s">
        <v>60</v>
      </c>
      <c r="S1" s="40" t="s">
        <v>61</v>
      </c>
      <c r="T1" s="40" t="s">
        <v>62</v>
      </c>
      <c r="U1" s="38" t="s">
        <v>63</v>
      </c>
    </row>
    <row r="2" spans="1:21">
      <c r="A2" s="31">
        <v>1</v>
      </c>
      <c r="B2" s="31" t="s">
        <v>64</v>
      </c>
      <c r="C2" s="31" t="s">
        <v>65</v>
      </c>
      <c r="D2" s="42" t="s">
        <v>66</v>
      </c>
      <c r="E2" s="43">
        <v>45717</v>
      </c>
      <c r="F2" s="43">
        <v>46811</v>
      </c>
      <c r="G2" s="44" t="s">
        <v>67</v>
      </c>
      <c r="H2" s="33">
        <f>J2*2</f>
        <v>798</v>
      </c>
      <c r="I2" s="34">
        <v>2</v>
      </c>
      <c r="J2" s="33">
        <v>399</v>
      </c>
      <c r="K2" s="33" t="s">
        <v>68</v>
      </c>
      <c r="L2" s="45" t="s">
        <v>39</v>
      </c>
      <c r="M2" s="46" t="s">
        <v>69</v>
      </c>
      <c r="N2" s="33">
        <v>10000</v>
      </c>
      <c r="O2" s="47">
        <f>CustomerList[[#This Row],[Monthly rental]]/IF(ISNUMBER(SEARCH("ice machine",CustomerList[[#This Row],[Nature]])),IFERROR(INDEX('price list'!$H$6:$H$10,MATCH(CustomerList[[#This Row],[Product Type]],'price list'!$K$6:$K$10,0)),""),IF(ISNUMBER(SEARCH("dishwasher",CustomerList[[#This Row],[Nature]])),IF(CustomerList[[#This Row],[Dishwasher - with Detergent?]]="With",IFERROR(INDEX('price list'!$H$17:$H$20,MATCH(CustomerList[[#This Row],[Product Type]],'price list'!$C$17:$C$20,0)),""),IFERROR(INDEX('price list'!$I$17:$I$20,MATCH(CustomerList[[#This Row],[Product Type]],'price list'!$C$17:$C$20,0)),""))))</f>
        <v>0.886666666666667</v>
      </c>
      <c r="P2" s="48">
        <f>(IF(ISNUMBER(SEARCH("ice machine",CustomerList[[#This Row],[Nature]])),IFERROR(INDEX('price list'!$J$6:$J$10,MATCH(CustomerList[[#This Row],[Product Type]],'price list'!$K$6:$K$10,0)),""),IF(ISNUMBER(SEARCH("Dishwasher",CustomerList[[#This Row],[Nature]])),IFERROR(INDEX('price list'!$J$17:$J$20,MATCH(CustomerList[[#This Row],[Product Type]],'price list'!$C$17:$C$20,0)),""),))+IF(ISNUMBER(SEARCH("Rent-to-own",CustomerList[[#This Row],[Nature]])),CustomerList[[#This Row],[Maintenance Rate]],0)*(LEFT(CustomerList[[#This Row],[Maintenance covered]],1)-1))*CustomerList[[#This Row],[Rent at quoted price?]]</f>
        <v>20068.8133333333</v>
      </c>
      <c r="Q2" s="49">
        <f>IFERROR(IF(SEARCH("ice machine",CustomerList[[#This Row],[Nature]]),2288,0),IF(SEARCH("Dishwasher",CustomerList[[#This Row],[Nature]]),((LEFT(CustomerList[[#This Row],[Contract period]],2)/12*6-1)*507/(LEFT(CustomerList[[#This Row],[Contract period]],2)/12)),0))</f>
        <v>2873</v>
      </c>
      <c r="R2" s="50" t="s">
        <v>70</v>
      </c>
      <c r="S2" s="51" t="str">
        <f>IF(ISNUMBER(SEARCH("Rental",C2)),"1 year",IF(ISNUMBER(SEARCH("Rent-to-own",CustomerList[[#This Row],[Nature]])),LEFT(G2,2)/12&amp;" years","Check"))</f>
        <v>3 years</v>
      </c>
      <c r="T2" s="52" t="str">
        <f>HYPERLINK("#'"&amp;B2&amp;"'!A1","Go to contract")</f>
        <v>Go to contract</v>
      </c>
      <c r="U2" s="53"/>
    </row>
    <row r="3" spans="1:21">
      <c r="A3" s="31">
        <v>2</v>
      </c>
      <c r="B3" s="31" t="s">
        <v>71</v>
      </c>
      <c r="C3" s="31" t="s">
        <v>65</v>
      </c>
      <c r="D3" s="54" t="s">
        <v>72</v>
      </c>
      <c r="E3" s="43">
        <v>45809</v>
      </c>
      <c r="F3" s="43">
        <v>46904</v>
      </c>
      <c r="G3" s="44" t="s">
        <v>67</v>
      </c>
      <c r="H3" s="33">
        <v>1398</v>
      </c>
      <c r="I3" s="34">
        <v>2</v>
      </c>
      <c r="J3" s="33">
        <f>H3/2</f>
        <v>699</v>
      </c>
      <c r="K3" s="33" t="s">
        <v>68</v>
      </c>
      <c r="L3" s="45" t="s">
        <v>39</v>
      </c>
      <c r="M3" s="46" t="s">
        <v>73</v>
      </c>
      <c r="N3" s="33">
        <v>10000</v>
      </c>
      <c r="O3" s="47">
        <f>CustomerList[[#This Row],[Monthly rental]]/IF(ISNUMBER(SEARCH("ice machine",CustomerList[[#This Row],[Nature]])),IFERROR(INDEX('price list'!$H$6:$H$10,MATCH(CustomerList[[#This Row],[Product Type]],'price list'!$K$6:$K$10,0)),""),IF(ISNUMBER(SEARCH("dishwasher",CustomerList[[#This Row],[Nature]])),IF(CustomerList[[#This Row],[Dishwasher - with Detergent?]]="With",IFERROR(INDEX('price list'!$H$17:$H$20,MATCH(CustomerList[[#This Row],[Product Type]],'price list'!$C$17:$C$20,0)),""),IFERROR(INDEX('price list'!$I$17:$I$20,MATCH(CustomerList[[#This Row],[Product Type]],'price list'!$C$17:$C$20,0)),""))))</f>
        <v>1</v>
      </c>
      <c r="P3" s="48">
        <f>(IF(ISNUMBER(SEARCH("ice machine",CustomerList[[#This Row],[Nature]])),IFERROR(INDEX('price list'!$J$6:$J$10,MATCH(CustomerList[[#This Row],[Product Type]],'price list'!$K$6:$K$10,0)),""),IF(ISNUMBER(SEARCH("Dishwasher",CustomerList[[#This Row],[Nature]])),IFERROR(INDEX('price list'!$J$17:$J$20,MATCH(CustomerList[[#This Row],[Product Type]],'price list'!$C$17:$C$20,0)),""),))+IF(ISNUMBER(SEARCH("Rent-to-own",CustomerList[[#This Row],[Nature]])),CustomerList[[#This Row],[Maintenance Rate]],0)*(LEFT(CustomerList[[#This Row],[Maintenance covered]],1)-1))*CustomerList[[#This Row],[Rent at quoted price?]]</f>
        <v>22634</v>
      </c>
      <c r="Q3" s="49">
        <f>IFERROR(IF(SEARCH("ice machine",CustomerList[[#This Row],[Nature]]),2288,0),IF(SEARCH("Dishwasher",CustomerList[[#This Row],[Nature]]),((LEFT(CustomerList[[#This Row],[Contract period]],2)/12*6-1)*507/(LEFT(CustomerList[[#This Row],[Contract period]],2)/12)),0))</f>
        <v>2873</v>
      </c>
      <c r="R3" s="50" t="s">
        <v>74</v>
      </c>
      <c r="S3" s="51" t="str">
        <f>IF(ISNUMBER(SEARCH("Rental",C3)),"1 year",IF(ISNUMBER(SEARCH("Rent-to-own",CustomerList[[#This Row],[Nature]])),LEFT(G3,2)/12&amp;" years","Check"))</f>
        <v>3 years</v>
      </c>
      <c r="T3" s="52" t="str">
        <f>HYPERLINK("#'"&amp;B3&amp;"'!A1","Go to contract")</f>
        <v>Go to contract</v>
      </c>
    </row>
    <row r="4" spans="1:21">
      <c r="A4" s="31">
        <v>3</v>
      </c>
      <c r="B4" s="55" t="s">
        <v>75</v>
      </c>
      <c r="C4" s="31" t="s">
        <v>76</v>
      </c>
      <c r="D4" s="42" t="s">
        <v>77</v>
      </c>
      <c r="E4" s="43">
        <v>45962</v>
      </c>
      <c r="F4" s="43">
        <v>46691</v>
      </c>
      <c r="G4" s="44" t="s">
        <v>78</v>
      </c>
      <c r="H4" s="33">
        <v>1700</v>
      </c>
      <c r="I4" s="34">
        <v>2</v>
      </c>
      <c r="J4" s="33">
        <f>H4/I4</f>
        <v>850</v>
      </c>
      <c r="K4" s="56">
        <v>45931</v>
      </c>
      <c r="L4" s="57" t="s">
        <v>30</v>
      </c>
      <c r="M4" s="42" t="s">
        <v>79</v>
      </c>
      <c r="N4" s="58">
        <v>13451.6988</v>
      </c>
      <c r="O4" s="47">
        <f>CustomerList[[#This Row],[Monthly rental]]/IF(ISNUMBER(SEARCH("ice machine",CustomerList[[#This Row],[Nature]])),IFERROR(INDEX('price list'!$H$6:$H$10,MATCH(CustomerList[[#This Row],[Product Type]],'price list'!$K$6:$K$10,0)),""),IF(ISNUMBER(SEARCH("dishwasher",CustomerList[[#This Row],[Nature]])),IF(CustomerList[[#This Row],[Dishwasher - with Detergent?]]="With",IFERROR(INDEX('price list'!$H$17:$H$20,MATCH(CustomerList[[#This Row],[Product Type]],'price list'!$C$17:$C$20,0)),""),IFERROR(INDEX('price list'!$I$17:$I$20,MATCH(CustomerList[[#This Row],[Product Type]],'price list'!$C$17:$C$20,0)),""))))</f>
        <v>0.654349499615088</v>
      </c>
      <c r="P4" s="48">
        <f>(IF(ISNUMBER(SEARCH("ice machine",CustomerList[[#This Row],[Nature]])),IFERROR(INDEX('price list'!$J$6:$J$10,MATCH(CustomerList[[#This Row],[Product Type]],'price list'!$K$6:$K$10,0)),""),IF(ISNUMBER(SEARCH("Dishwasher",CustomerList[[#This Row],[Nature]])),IFERROR(INDEX('price list'!$J$17:$J$20,MATCH(CustomerList[[#This Row],[Product Type]],'price list'!$C$17:$C$20,0)),""),))+IF(ISNUMBER(SEARCH("Rent-to-own",CustomerList[[#This Row],[Nature]])),CustomerList[[#This Row],[Maintenance Rate]],0)*(LEFT(CustomerList[[#This Row],[Maintenance covered]],1)-1))*CustomerList[[#This Row],[Rent at quoted price?]]</f>
        <v>17855.2347959969</v>
      </c>
      <c r="Q4" s="48">
        <f>IFERROR(IF(SEARCH("ice machine",CustomerList[[#This Row],[Nature]]),2288,0),IF(SEARCH("Dishwasher",CustomerList[[#This Row],[Nature]]),((LEFT(CustomerList[[#This Row],[Contract period]],2)/12*6-1)*507/(LEFT(CustomerList[[#This Row],[Contract period]],2)/12)),0))</f>
        <v>2288</v>
      </c>
      <c r="R4" s="59" t="s">
        <v>80</v>
      </c>
      <c r="S4" s="51" t="str">
        <f>IF(ISNUMBER(SEARCH("Rental",C4)),"1 year",IF(ISNUMBER(SEARCH("Rent-to-own",CustomerList[[#This Row],[Nature]])),LEFT(G4,2)/12&amp;" years","Check"))</f>
        <v>2 years</v>
      </c>
      <c r="T4" s="52" t="str">
        <f>HYPERLINK("#'"&amp;B4&amp;"'!A1","Go to contract")</f>
        <v>Go to contract</v>
      </c>
    </row>
    <row r="5" spans="1:21">
      <c r="A5" s="31">
        <v>4</v>
      </c>
      <c r="B5" s="31" t="s">
        <v>81</v>
      </c>
      <c r="C5" s="31" t="s">
        <v>76</v>
      </c>
      <c r="D5" s="42" t="s">
        <v>82</v>
      </c>
      <c r="E5" s="43">
        <v>45946</v>
      </c>
      <c r="F5" s="43">
        <v>46675</v>
      </c>
      <c r="G5" s="44" t="s">
        <v>78</v>
      </c>
      <c r="H5" s="33">
        <v>1278</v>
      </c>
      <c r="I5" s="34">
        <v>2</v>
      </c>
      <c r="J5" s="33">
        <f>H5/I5</f>
        <v>639</v>
      </c>
      <c r="K5" s="56">
        <v>45946</v>
      </c>
      <c r="L5" s="57" t="s">
        <v>25</v>
      </c>
      <c r="M5" s="42" t="s">
        <v>83</v>
      </c>
      <c r="N5" s="58">
        <v>5517.6629</v>
      </c>
      <c r="O5" s="47">
        <f>CustomerList[[#This Row],[Monthly rental]]/IF(ISNUMBER(SEARCH("ice machine",CustomerList[[#This Row],[Nature]])),IFERROR(INDEX('price list'!$H$6:$H$10,MATCH(CustomerList[[#This Row],[Product Type]],'price list'!$K$6:$K$10,0)),""),IF(ISNUMBER(SEARCH("dishwasher",CustomerList[[#This Row],[Nature]])),IF(CustomerList[[#This Row],[Dishwasher - with Detergent?]]="With",IFERROR(INDEX('price list'!$H$17:$H$20,MATCH(CustomerList[[#This Row],[Product Type]],'price list'!$C$17:$C$20,0)),""),IFERROR(INDEX('price list'!$I$17:$I$20,MATCH(CustomerList[[#This Row],[Product Type]],'price list'!$C$17:$C$20,0)),""))))</f>
        <v>1</v>
      </c>
      <c r="P5" s="48">
        <f>(IF(ISNUMBER(SEARCH("ice machine",CustomerList[[#This Row],[Nature]])),IFERROR(INDEX('price list'!$J$6:$J$10,MATCH(CustomerList[[#This Row],[Product Type]],'price list'!$K$6:$K$10,0)),""),IF(ISNUMBER(SEARCH("Dishwasher",CustomerList[[#This Row],[Nature]])),IFERROR(INDEX('price list'!$J$17:$J$20,MATCH(CustomerList[[#This Row],[Product Type]],'price list'!$C$17:$C$20,0)),""),))+IF(ISNUMBER(SEARCH("Rent-to-own",CustomerList[[#This Row],[Nature]])),CustomerList[[#This Row],[Maintenance Rate]],0)*(LEFT(CustomerList[[#This Row],[Maintenance covered]],1)-1))*CustomerList[[#This Row],[Rent at quoted price?]]</f>
        <v>15287</v>
      </c>
      <c r="Q5" s="48">
        <f>IFERROR(IF(SEARCH("ice machine",CustomerList[[#This Row],[Nature]]),2288,0),IF(SEARCH("Dishwasher",CustomerList[[#This Row],[Nature]]),((LEFT(CustomerList[[#This Row],[Contract period]],2)/12*6-1)*507/(LEFT(CustomerList[[#This Row],[Contract period]],2)/12)),0))</f>
        <v>2288</v>
      </c>
      <c r="R5" s="59" t="s">
        <v>80</v>
      </c>
      <c r="S5" s="51" t="str">
        <f>IF(ISNUMBER(SEARCH("Rental",C5)),"1 year",IF(ISNUMBER(SEARCH("Rent-to-own",CustomerList[[#This Row],[Nature]])),LEFT(G5,2)/12&amp;" years","Check"))</f>
        <v>2 years</v>
      </c>
      <c r="T5" s="52" t="str">
        <f>HYPERLINK("#'"&amp;B5&amp;"'!A1","Go to contract")</f>
        <v>Go to contract</v>
      </c>
    </row>
    <row r="6" spans="1:21">
      <c r="A6" s="31">
        <v>5</v>
      </c>
      <c r="B6" s="55" t="s">
        <v>84</v>
      </c>
      <c r="C6" s="31" t="s">
        <v>65</v>
      </c>
      <c r="D6" s="31" t="s">
        <v>85</v>
      </c>
      <c r="E6" s="43">
        <v>46023</v>
      </c>
      <c r="F6" s="43">
        <v>47118</v>
      </c>
      <c r="G6" s="44" t="s">
        <v>67</v>
      </c>
      <c r="H6" s="33">
        <v>1398</v>
      </c>
      <c r="I6" s="34">
        <v>2</v>
      </c>
      <c r="J6" s="33">
        <v>699</v>
      </c>
      <c r="K6" s="56">
        <v>46014</v>
      </c>
      <c r="L6" s="60" t="s">
        <v>39</v>
      </c>
      <c r="M6" s="35" t="s">
        <v>86</v>
      </c>
      <c r="N6" s="58">
        <v>10000</v>
      </c>
      <c r="O6" s="47">
        <f>CustomerList[[#This Row],[Monthly rental]]/IF(ISNUMBER(SEARCH("ice machine",CustomerList[[#This Row],[Nature]])),IFERROR(INDEX('price list'!$H$6:$H$10,MATCH(CustomerList[[#This Row],[Product Type]],'price list'!$K$6:$K$10,0)),""),IF(ISNUMBER(SEARCH("dishwasher",CustomerList[[#This Row],[Nature]])),IF(CustomerList[[#This Row],[Dishwasher - with Detergent?]]="With",IFERROR(INDEX('price list'!$H$17:$H$20,MATCH(CustomerList[[#This Row],[Product Type]],'price list'!$C$17:$C$20,0)),""),IFERROR(INDEX('price list'!$I$17:$I$20,MATCH(CustomerList[[#This Row],[Product Type]],'price list'!$C$17:$C$20,0)),""))))</f>
        <v>1</v>
      </c>
      <c r="P6" s="48">
        <f>(IF(ISNUMBER(SEARCH("ice machine",CustomerList[[#This Row],[Nature]])),IFERROR(INDEX('price list'!$J$6:$J$10,MATCH(CustomerList[[#This Row],[Product Type]],'price list'!$K$6:$K$10,0)),""),IF(ISNUMBER(SEARCH("Dishwasher",CustomerList[[#This Row],[Nature]])),IFERROR(INDEX('price list'!$J$17:$J$20,MATCH(CustomerList[[#This Row],[Product Type]],'price list'!$C$17:$C$20,0)),""),))+IF(ISNUMBER(SEARCH("Rent-to-own",CustomerList[[#This Row],[Nature]])),CustomerList[[#This Row],[Maintenance Rate]],0)*(LEFT(CustomerList[[#This Row],[Maintenance covered]],1)-1))*CustomerList[[#This Row],[Rent at quoted price?]]</f>
        <v>22634</v>
      </c>
      <c r="Q6" s="49">
        <f>IFERROR(IF(SEARCH("ice machine",CustomerList[[#This Row],[Nature]]),2288,0),IF(SEARCH("Dishwasher",CustomerList[[#This Row],[Nature]]),((LEFT(CustomerList[[#This Row],[Contract period]],2)/12*6-1)*507/(LEFT(CustomerList[[#This Row],[Contract period]],2)/12)),0))</f>
        <v>2873</v>
      </c>
      <c r="R6" s="50" t="s">
        <v>74</v>
      </c>
      <c r="S6" s="51" t="str">
        <f>IF(ISNUMBER(SEARCH("Rental",C6)),"1 year",IF(ISNUMBER(SEARCH("Rent-to-own",CustomerList[[#This Row],[Nature]])),LEFT(G6,2)/12&amp;" years","Check"))</f>
        <v>3 years</v>
      </c>
      <c r="T6" s="52" t="str">
        <f>HYPERLINK("#'"&amp;B6&amp;"'!A1","Go to contract")</f>
        <v>Go to contract</v>
      </c>
    </row>
    <row r="8" spans="1:21">
      <c r="J8" s="61"/>
    </row>
    <row r="20" spans="16:16">
      <c r="P20" s="33">
        <f>('price list'!J18+'List of customer'!Q2*2)*O2</f>
        <v>20068.8133333333</v>
      </c>
    </row>
  </sheetData>
  <conditionalFormatting sqref="B2:B6">
    <cfRule type="containsText" dxfId="21" priority="3" operator="between" text="D">
      <formula>NOT(ISERROR(SEARCH("D",B2)))</formula>
    </cfRule>
    <cfRule type="duplicateValues" dxfId="22" priority="58"/>
    <cfRule type="duplicateValues" dxfId="23" priority="59"/>
  </conditionalFormatting>
  <conditionalFormatting sqref="O2:S6">
    <cfRule type="containsErrors" dxfId="24" priority="5">
      <formula>ISERROR(O2)</formula>
    </cfRule>
  </conditionalFormatting>
  <dataValidations count="2">
    <dataValidation type="list" allowBlank="1" showInputMessage="1" showErrorMessage="1" sqref="C2:C6">
      <formula1>"Rental ice machine,Rent-to-own Dishwasher,Rent-to-own ice machine,Outright ice machine,Outright dishwasher,Outright refrigerator"</formula1>
    </dataValidation>
    <dataValidation type="list" allowBlank="1" showInputMessage="1" showErrorMessage="1" sqref="R2:R6">
      <formula1>"With,Without,N/A"</formula1>
    </dataValidation>
  </dataValidations>
  <pageMargins left="0.7" right="0.7" top="0.75" bottom="0.75" header="0.3" footer="0.3"/>
  <pageSetup paperSize="9" orientation="portrait"/>
  <headerFooter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Z77"/>
  <sheetViews>
    <sheetView tabSelected="1" zoomScale="120" zoomScaleNormal="120" topLeftCell="A15" workbookViewId="0">
      <selection activeCell="E22" sqref="E22"/>
    </sheetView>
  </sheetViews>
  <sheetFormatPr defaultColWidth="9" defaultRowHeight="14.4"/>
  <cols>
    <col min="1" max="4" width="14.1666666666667" style="1" customWidth="1"/>
    <col min="5" max="5" width="35" style="1" customWidth="1"/>
    <col min="6" max="7" width="14.1666666666667" style="1" customWidth="1"/>
    <col min="8" max="8" width="4.66666666666667" style="1" customWidth="1"/>
    <col min="9" max="13" width="14.1666666666667" style="1" customWidth="1"/>
    <col min="14" max="14" width="4.66666666666667" style="1" customWidth="1"/>
    <col min="15" max="18" width="14.1666666666667" style="1" customWidth="1"/>
    <col min="19" max="20" width="9" style="1" customWidth="1"/>
    <col min="21" max="16384" width="9" style="1"/>
  </cols>
  <sheetData>
    <row r="1" ht="18.75" customHeight="1" spans="1:26">
      <c r="A1" s="2" t="str">
        <f ca="1">IFERROR(INDEX('List of customer'!D:D,MATCH($S$1,'List of customer'!$B:$B,0)),"")</f>
        <v>HAKATA F&amp;B SDN BHD</v>
      </c>
      <c r="K1" s="2" t="s">
        <v>87</v>
      </c>
      <c r="L1" s="3">
        <v>46022</v>
      </c>
      <c r="S1" s="4" t="str">
        <f ca="1" t="array" ref="S1">MID(CELL("filename",A1),FIND("]",CELL("filename",A1))+1,255)</f>
        <v>SO25-0001</v>
      </c>
      <c r="Z1" t="s">
        <v>64</v>
      </c>
    </row>
    <row r="2" spans="1:26">
      <c r="E2" s="5" t="s">
        <v>88</v>
      </c>
      <c r="F2" s="6"/>
      <c r="I2" s="7">
        <f ca="1">SUM(I3:I18)</f>
        <v>0</v>
      </c>
      <c r="K2" s="2" t="s">
        <v>89</v>
      </c>
      <c r="L2" s="8">
        <v>45658</v>
      </c>
    </row>
    <row r="3" spans="1:26">
      <c r="A3" s="2" t="s">
        <v>90</v>
      </c>
      <c r="B3" s="2"/>
      <c r="C3" s="1" t="str">
        <f ca="1">IFERROR(INDEX('List of customer'!C:C,MATCH($S$1,'List of customer'!$B:$B,0)),"")</f>
        <v>Rent-to-own Dishwasher</v>
      </c>
      <c r="E3" s="2" t="s">
        <v>91</v>
      </c>
    </row>
    <row r="4" spans="1:26">
      <c r="A4" s="1" t="s">
        <v>92</v>
      </c>
      <c r="C4" s="17">
        <f ca="1">IFERROR(INDEX('List of customer'!N:N,MATCH($S$1,'List of customer'!$B:$B,0)),"")</f>
        <v>10000</v>
      </c>
      <c r="E4" s="18" t="s">
        <v>93</v>
      </c>
      <c r="I4" s="7">
        <f ca="1">$C$39</f>
        <v>11449.8133333333</v>
      </c>
      <c r="J4" s="9" t="s">
        <v>94</v>
      </c>
    </row>
    <row r="5" spans="1:26">
      <c r="A5" s="1" t="s">
        <v>95</v>
      </c>
      <c r="C5" s="19" t="str">
        <f ca="1">LEFT(IFERROR(INDEX('List of customer'!G:G,MATCH($S$1,'List of customer'!$B:$B,0)),""),2)</f>
        <v>36</v>
      </c>
      <c r="E5" s="20" t="s">
        <v>96</v>
      </c>
      <c r="I5" s="7">
        <f ca="1">-C25</f>
        <v>-4579.44706209969</v>
      </c>
      <c r="J5" s="9" t="s">
        <v>97</v>
      </c>
    </row>
    <row r="6" spans="1:26">
      <c r="A6" s="1" t="s">
        <v>48</v>
      </c>
      <c r="C6" s="21">
        <f ca="1">IFERROR(INDEX('List of customer'!E:E,MATCH($S$1,'List of customer'!$B:$B,0)),"")</f>
        <v>45717</v>
      </c>
      <c r="E6" s="20" t="s">
        <v>98</v>
      </c>
      <c r="I6" s="7">
        <f ca="1">-C26</f>
        <v>-6870.36627123364</v>
      </c>
      <c r="J6" s="9" t="s">
        <v>99</v>
      </c>
    </row>
    <row r="7" spans="1:26">
      <c r="A7" s="1" t="s">
        <v>49</v>
      </c>
      <c r="C7" s="21">
        <f ca="1">IFERROR(INDEX('List of customer'!F:F,MATCH($S$1,'List of customer'!$B:$B,0)),"")</f>
        <v>46811</v>
      </c>
      <c r="J7" s="9"/>
    </row>
    <row r="8" spans="1:26">
      <c r="A8" s="1" t="s">
        <v>100</v>
      </c>
      <c r="C8" s="7">
        <f ca="1">IFERROR(INDEX('List of customer'!J:J,MATCH($S$1,'List of customer'!$B:$B,0)),"")</f>
        <v>399</v>
      </c>
      <c r="E8" s="6" t="s">
        <v>101</v>
      </c>
      <c r="I8" s="7">
        <f ca="1">C32</f>
        <v>10000</v>
      </c>
      <c r="J8" s="9"/>
    </row>
    <row r="9" spans="1:26">
      <c r="A9" s="1" t="s">
        <v>102</v>
      </c>
      <c r="C9" s="22">
        <f ca="1">C17</f>
        <v>11449.8133333333</v>
      </c>
      <c r="E9" s="23" t="s">
        <v>103</v>
      </c>
      <c r="I9" s="7">
        <f ca="1">-I8</f>
        <v>-10000</v>
      </c>
      <c r="J9" s="9" t="s">
        <v>104</v>
      </c>
    </row>
    <row r="10" spans="1:26">
      <c r="C10" s="13"/>
      <c r="J10" s="9"/>
    </row>
    <row r="11" spans="1:26">
      <c r="A11" s="1" t="s">
        <v>105</v>
      </c>
      <c r="C11" s="10" t="str">
        <f ca="1">IF(C9=0,"No","Yes")</f>
        <v>Yes</v>
      </c>
      <c r="E11" s="2" t="s">
        <v>106</v>
      </c>
      <c r="I11" s="7"/>
      <c r="J11" s="9"/>
    </row>
    <row r="12" spans="1:26">
      <c r="E12" s="1" t="s">
        <v>107</v>
      </c>
      <c r="I12" s="7">
        <f ca="1">-I6/$C$5*COUNTIFS($B$39:$B$74,"&lt;="&amp;$L$1,$E$39:$E$74,"&gt;"&amp;0,$B$39:$B$74,"&gt;="&amp;$L$2)</f>
        <v>1908.43507534268</v>
      </c>
      <c r="J12" s="9" t="s">
        <v>108</v>
      </c>
    </row>
    <row r="13" spans="1:26">
      <c r="A13" s="2" t="s">
        <v>109</v>
      </c>
      <c r="E13" s="11" t="s">
        <v>110</v>
      </c>
      <c r="I13" s="7">
        <f ca="1">-I12</f>
        <v>-1908.43507534268</v>
      </c>
      <c r="J13" s="9"/>
    </row>
    <row r="14" spans="1:26">
      <c r="A14" s="1" t="s">
        <v>111</v>
      </c>
      <c r="C14" s="7">
        <f ca="1">IFERROR(INDEX('List of customer'!P:P,MATCH($S$1,'List of customer'!$B:$B,0)),"")</f>
        <v>20068.8133333333</v>
      </c>
      <c r="J14" s="9"/>
    </row>
    <row r="15" spans="1:26">
      <c r="A15" s="1" t="s">
        <v>112</v>
      </c>
      <c r="C15" s="7">
        <f ca="1">IFERROR(INDEX('List of customer'!Q:Q,MATCH($S$1,'List of customer'!$B:$B,0)),"")</f>
        <v>2873</v>
      </c>
      <c r="E15" s="4" t="s">
        <v>113</v>
      </c>
      <c r="F15" s="4"/>
      <c r="G15" s="4"/>
      <c r="I15" s="7">
        <f ca="1">SUMIFS($E$39:$E$74,$B$39:$B$74,"&lt;="&amp;$L$1,$B$39:$B$74,"&gt;="&amp;$L$2)</f>
        <v>3990</v>
      </c>
      <c r="J15" s="9" t="s">
        <v>114</v>
      </c>
    </row>
    <row r="16" spans="1:26">
      <c r="A16" s="1" t="s">
        <v>115</v>
      </c>
      <c r="C16" s="10" t="str">
        <f ca="1">LEFT(IFERROR(INDEX('List of customer'!S:S,MATCH($S$1,'List of customer'!$B:$B,0)),""),1)</f>
        <v>3</v>
      </c>
      <c r="E16" s="11" t="s">
        <v>116</v>
      </c>
      <c r="G16" s="4"/>
      <c r="I16" s="7">
        <f ca="1">-SUMIFS($F$39:$F$74,$B$39:$B$74,"&lt;="&amp;$L$1,$B$39:$B$74,"&gt;="&amp;$L$2)</f>
        <v>-2673.8236526566</v>
      </c>
      <c r="J16" s="9" t="s">
        <v>117</v>
      </c>
    </row>
    <row r="17" spans="1:10">
      <c r="A17" s="1" t="s">
        <v>118</v>
      </c>
      <c r="C17" s="7">
        <f ca="1">C14-C15*C16</f>
        <v>11449.8133333333</v>
      </c>
      <c r="E17" s="11" t="s">
        <v>119</v>
      </c>
      <c r="G17" s="4"/>
      <c r="I17" s="7">
        <f ca="1">-SUMIFS($D$39:$D$74,$B$39:$B$74,"&lt;="&amp;$L$1,$B$39:$B$74,"&gt;="&amp;$L$2)</f>
        <v>-1316.1763473434</v>
      </c>
      <c r="J17" s="9" t="s">
        <v>120</v>
      </c>
    </row>
    <row r="18" spans="1:10">
      <c r="E18" s="11"/>
      <c r="I18" s="7"/>
      <c r="J18" s="9"/>
    </row>
    <row r="19" spans="1:10">
      <c r="A19" s="2" t="s">
        <v>121</v>
      </c>
      <c r="I19" s="7"/>
      <c r="J19" s="9"/>
    </row>
    <row r="20" spans="1:10">
      <c r="A20" s="1" t="s">
        <v>122</v>
      </c>
      <c r="C20" s="7">
        <f ca="1">C5*C8</f>
        <v>14364</v>
      </c>
      <c r="J20" s="9"/>
    </row>
    <row r="21" spans="1:10">
      <c r="A21" s="1" t="s">
        <v>123</v>
      </c>
      <c r="C21" s="7">
        <f ca="1">C15*C16</f>
        <v>8619</v>
      </c>
      <c r="D21" s="9" t="s">
        <v>124</v>
      </c>
      <c r="J21" s="9"/>
    </row>
    <row r="22" spans="1:10">
      <c r="A22" s="1" t="s">
        <v>125</v>
      </c>
      <c r="C22" s="7">
        <f ca="1">C20-C21</f>
        <v>5745</v>
      </c>
      <c r="J22" s="9"/>
    </row>
    <row r="23" spans="1:10">
      <c r="E23" s="2"/>
      <c r="I23" s="7"/>
      <c r="J23" s="9"/>
    </row>
    <row r="24" spans="1:10">
      <c r="A24" s="2" t="s">
        <v>126</v>
      </c>
      <c r="C24" s="7"/>
      <c r="I24" s="7"/>
      <c r="J24" s="9"/>
    </row>
    <row r="25" spans="1:10">
      <c r="A25" s="1" t="s">
        <v>127</v>
      </c>
      <c r="C25" s="7">
        <f ca="1">$C$22/$C$20*$C$30</f>
        <v>4579.44706209969</v>
      </c>
      <c r="I25" s="7"/>
      <c r="J25" s="9"/>
    </row>
    <row r="26" spans="1:10">
      <c r="A26" s="1" t="s">
        <v>128</v>
      </c>
      <c r="C26" s="7">
        <f ca="1">$C$21/$C$20*$C$30</f>
        <v>6870.36627123364</v>
      </c>
      <c r="I26" s="7"/>
      <c r="J26" s="9"/>
    </row>
    <row r="27" spans="1:10">
      <c r="I27" s="7"/>
      <c r="J27" s="9"/>
    </row>
    <row r="28" spans="1:10">
      <c r="A28" s="2" t="s">
        <v>129</v>
      </c>
      <c r="B28" s="2"/>
      <c r="I28" s="7"/>
      <c r="J28" s="9"/>
    </row>
    <row r="29" spans="1:10">
      <c r="A29" s="24" t="s">
        <v>130</v>
      </c>
      <c r="B29" s="24"/>
      <c r="C29" s="25">
        <f ca="1">IF(UPPER($C$11)="YES",RATE($C$5,-$C$8,$C$9,0,0),$C$10)</f>
        <v>0.0128099222505703</v>
      </c>
      <c r="D29" s="1" t="s">
        <v>131</v>
      </c>
      <c r="E29" s="1">
        <v>0.0128099222505703</v>
      </c>
      <c r="I29" s="7"/>
      <c r="J29" s="9"/>
    </row>
    <row r="30" spans="1:10">
      <c r="A30" s="1" t="s">
        <v>132</v>
      </c>
      <c r="C30" s="7">
        <f ca="1">IF(UPPER($C$11)="YES",$C$9,PV($C$29,$C$5,-$C$8,0,0))</f>
        <v>11449.8133333333</v>
      </c>
      <c r="I30" s="7"/>
      <c r="J30" s="9"/>
    </row>
    <row r="31" spans="1:10">
      <c r="A31" s="1" t="s">
        <v>133</v>
      </c>
      <c r="C31" s="7">
        <f ca="1">C30</f>
        <v>11449.8133333333</v>
      </c>
      <c r="I31" s="7"/>
      <c r="J31" s="9"/>
    </row>
    <row r="32" spans="1:10">
      <c r="A32" s="1" t="s">
        <v>134</v>
      </c>
      <c r="C32" s="7">
        <f ca="1">IFERROR(INDEX('List of customer'!N:N,MATCH($S$1,'List of customer'!$B:$B,0)),"")</f>
        <v>10000</v>
      </c>
      <c r="I32" s="7"/>
      <c r="J32" s="9"/>
    </row>
    <row r="33" spans="1:16">
      <c r="A33" s="1" t="s">
        <v>135</v>
      </c>
      <c r="C33" s="7">
        <f ca="1">C31-C32</f>
        <v>1449.81333333334</v>
      </c>
      <c r="I33" s="7"/>
      <c r="J33" s="9"/>
    </row>
    <row r="37" spans="1:16">
      <c r="A37" s="2" t="s">
        <v>136</v>
      </c>
      <c r="D37" s="1" t="s">
        <v>137</v>
      </c>
      <c r="E37" s="1" t="s">
        <v>138</v>
      </c>
      <c r="I37" s="2"/>
    </row>
    <row r="38" spans="1:16">
      <c r="A38" s="26" t="s">
        <v>139</v>
      </c>
      <c r="B38" s="26" t="s">
        <v>140</v>
      </c>
      <c r="C38" s="26" t="s">
        <v>141</v>
      </c>
      <c r="D38" s="26" t="s">
        <v>142</v>
      </c>
      <c r="E38" s="26" t="s">
        <v>143</v>
      </c>
      <c r="F38" s="26" t="s">
        <v>144</v>
      </c>
      <c r="G38" s="26" t="s">
        <v>145</v>
      </c>
      <c r="I38" s="2"/>
      <c r="J38" s="2"/>
      <c r="K38" s="2"/>
      <c r="L38" s="2"/>
      <c r="M38" s="2"/>
      <c r="O38" s="2"/>
      <c r="P38" s="2"/>
    </row>
    <row r="39" spans="1:16">
      <c r="A39" s="27">
        <v>1</v>
      </c>
      <c r="B39" s="16">
        <f ca="1">$C$6</f>
        <v>45717</v>
      </c>
      <c r="C39" s="7">
        <f ca="1">C30</f>
        <v>11449.8133333333</v>
      </c>
      <c r="D39" s="7">
        <f ca="1">C39*$C$29</f>
        <v>146.671218583543</v>
      </c>
      <c r="E39" s="28">
        <f ca="1" t="shared" ref="E39:E74" si="0">IF(C39&lt;=1,0,$C$8)</f>
        <v>399</v>
      </c>
      <c r="F39" s="7">
        <f ca="1" t="shared" ref="F39:F74" si="1">E39-D39</f>
        <v>252.328781416457</v>
      </c>
      <c r="G39" s="7">
        <f ca="1" t="shared" ref="G39:G74" si="2">C39-F39</f>
        <v>11197.4845519169</v>
      </c>
      <c r="I39" s="7"/>
      <c r="J39" s="7"/>
      <c r="K39" s="7"/>
      <c r="L39" s="7"/>
      <c r="M39" s="7"/>
      <c r="O39" s="7"/>
      <c r="P39" s="7"/>
    </row>
    <row r="40" spans="1:16">
      <c r="A40" s="27">
        <v>2</v>
      </c>
      <c r="B40" s="16">
        <f ca="1" t="shared" ref="B40:B74" si="3">EDATE(B39,1)</f>
        <v>45748</v>
      </c>
      <c r="C40" s="7">
        <f ca="1" t="shared" ref="C40:C74" si="4">IF(G39&lt;=0,0,G39)</f>
        <v>11197.4845519169</v>
      </c>
      <c r="D40" s="7">
        <f ca="1">C40*$C$29</f>
        <v>143.438906512017</v>
      </c>
      <c r="E40" s="28">
        <f ca="1" t="shared" si="0"/>
        <v>399</v>
      </c>
      <c r="F40" s="7">
        <f ca="1" t="shared" si="1"/>
        <v>255.561093487983</v>
      </c>
      <c r="G40" s="7">
        <f ca="1" t="shared" si="2"/>
        <v>10941.9234584289</v>
      </c>
      <c r="I40" s="7"/>
      <c r="J40" s="7"/>
      <c r="K40" s="7"/>
      <c r="L40" s="7"/>
      <c r="M40" s="7"/>
      <c r="O40" s="7"/>
      <c r="P40" s="7"/>
    </row>
    <row r="41" spans="1:16">
      <c r="A41" s="27">
        <v>3</v>
      </c>
      <c r="B41" s="16">
        <f ca="1" t="shared" si="3"/>
        <v>45778</v>
      </c>
      <c r="C41" s="7">
        <f ca="1" t="shared" si="4"/>
        <v>10941.9234584289</v>
      </c>
      <c r="D41" s="7">
        <f ca="1">C41*$C$29</f>
        <v>140.165188774166</v>
      </c>
      <c r="E41" s="28">
        <f ca="1" t="shared" si="0"/>
        <v>399</v>
      </c>
      <c r="F41" s="7">
        <f ca="1" t="shared" si="1"/>
        <v>258.834811225834</v>
      </c>
      <c r="G41" s="7">
        <f ca="1" t="shared" si="2"/>
        <v>10683.0886472031</v>
      </c>
      <c r="I41" s="7"/>
      <c r="J41" s="7"/>
      <c r="K41" s="7"/>
      <c r="L41" s="7"/>
      <c r="M41" s="7"/>
      <c r="O41" s="7"/>
      <c r="P41" s="7"/>
    </row>
    <row r="42" spans="1:16">
      <c r="A42" s="27">
        <v>4</v>
      </c>
      <c r="B42" s="16">
        <f ca="1" t="shared" si="3"/>
        <v>45809</v>
      </c>
      <c r="C42" s="7">
        <f ca="1" t="shared" si="4"/>
        <v>10683.0886472031</v>
      </c>
      <c r="D42" s="7">
        <f ca="1" t="shared" ref="D39:D74" si="5">C42*$C$29</f>
        <v>136.849534966622</v>
      </c>
      <c r="E42" s="28">
        <f ca="1" t="shared" si="0"/>
        <v>399</v>
      </c>
      <c r="F42" s="7">
        <f ca="1" t="shared" si="1"/>
        <v>262.150465033378</v>
      </c>
      <c r="G42" s="7">
        <f ca="1" t="shared" si="2"/>
        <v>10420.9381821697</v>
      </c>
      <c r="I42" s="7"/>
      <c r="J42" s="7"/>
      <c r="K42" s="7"/>
      <c r="L42" s="7"/>
      <c r="M42" s="7"/>
      <c r="O42" s="7"/>
      <c r="P42" s="7"/>
    </row>
    <row r="43" spans="1:16">
      <c r="A43" s="27">
        <v>5</v>
      </c>
      <c r="B43" s="16">
        <f ca="1" t="shared" si="3"/>
        <v>45839</v>
      </c>
      <c r="C43" s="7">
        <f ca="1" t="shared" si="4"/>
        <v>10420.9381821697</v>
      </c>
      <c r="D43" s="7">
        <f ca="1" t="shared" si="5"/>
        <v>133.491407891593</v>
      </c>
      <c r="E43" s="28">
        <f ca="1" t="shared" si="0"/>
        <v>399</v>
      </c>
      <c r="F43" s="7">
        <f ca="1" t="shared" si="1"/>
        <v>265.508592108407</v>
      </c>
      <c r="G43" s="7">
        <f ca="1" t="shared" si="2"/>
        <v>10155.4295900613</v>
      </c>
      <c r="I43" s="7"/>
      <c r="J43" s="7"/>
      <c r="K43" s="7"/>
      <c r="L43" s="7"/>
      <c r="M43" s="7"/>
      <c r="O43" s="7"/>
      <c r="P43" s="7"/>
    </row>
    <row r="44" spans="1:16">
      <c r="A44" s="27">
        <v>6</v>
      </c>
      <c r="B44" s="16">
        <f ca="1" t="shared" si="3"/>
        <v>45870</v>
      </c>
      <c r="C44" s="7">
        <f ca="1" t="shared" si="4"/>
        <v>10155.4295900613</v>
      </c>
      <c r="D44" s="7">
        <f ca="1" t="shared" si="5"/>
        <v>130.090263469826</v>
      </c>
      <c r="E44" s="28">
        <f ca="1" t="shared" si="0"/>
        <v>399</v>
      </c>
      <c r="F44" s="7">
        <f ca="1" t="shared" si="1"/>
        <v>268.909736530174</v>
      </c>
      <c r="G44" s="7">
        <f ca="1" t="shared" si="2"/>
        <v>9886.5198535311</v>
      </c>
      <c r="I44" s="7"/>
      <c r="J44" s="7"/>
      <c r="K44" s="7"/>
      <c r="L44" s="7"/>
      <c r="M44" s="7"/>
      <c r="O44" s="7"/>
      <c r="P44" s="7"/>
    </row>
    <row r="45" spans="1:16">
      <c r="A45" s="27">
        <v>7</v>
      </c>
      <c r="B45" s="16">
        <f ca="1" t="shared" si="3"/>
        <v>45901</v>
      </c>
      <c r="C45" s="7">
        <f ca="1" t="shared" si="4"/>
        <v>9886.5198535311</v>
      </c>
      <c r="D45" s="7">
        <f ca="1" t="shared" si="5"/>
        <v>126.645550652453</v>
      </c>
      <c r="E45" s="28">
        <f ca="1" t="shared" si="0"/>
        <v>399</v>
      </c>
      <c r="F45" s="7">
        <f ca="1" t="shared" si="1"/>
        <v>272.354449347547</v>
      </c>
      <c r="G45" s="7">
        <f ca="1" t="shared" si="2"/>
        <v>9614.16540418356</v>
      </c>
      <c r="I45" s="7"/>
      <c r="J45" s="7"/>
      <c r="K45" s="7"/>
      <c r="L45" s="7"/>
      <c r="M45" s="7"/>
      <c r="O45" s="7"/>
      <c r="P45" s="7"/>
    </row>
    <row r="46" spans="1:16">
      <c r="A46" s="27">
        <v>8</v>
      </c>
      <c r="B46" s="16">
        <f ca="1" t="shared" si="3"/>
        <v>45931</v>
      </c>
      <c r="C46" s="7">
        <f ca="1" t="shared" si="4"/>
        <v>9614.16540418356</v>
      </c>
      <c r="D46" s="7">
        <f ca="1" t="shared" si="5"/>
        <v>123.156711331714</v>
      </c>
      <c r="E46" s="28">
        <f ca="1" t="shared" si="0"/>
        <v>399</v>
      </c>
      <c r="F46" s="7">
        <f ca="1" t="shared" si="1"/>
        <v>275.843288668286</v>
      </c>
      <c r="G46" s="7">
        <f ca="1" t="shared" si="2"/>
        <v>9338.32211551527</v>
      </c>
      <c r="I46" s="7"/>
      <c r="J46" s="7"/>
      <c r="K46" s="7"/>
      <c r="L46" s="7"/>
      <c r="M46" s="7"/>
      <c r="O46" s="7"/>
      <c r="P46" s="7"/>
    </row>
    <row r="47" spans="1:16">
      <c r="A47" s="27">
        <v>9</v>
      </c>
      <c r="B47" s="16">
        <f ca="1" t="shared" si="3"/>
        <v>45962</v>
      </c>
      <c r="C47" s="7">
        <f ca="1" t="shared" si="4"/>
        <v>9338.32211551527</v>
      </c>
      <c r="D47" s="7">
        <f ca="1" t="shared" si="5"/>
        <v>119.623180250532</v>
      </c>
      <c r="E47" s="28">
        <f ca="1" t="shared" si="0"/>
        <v>399</v>
      </c>
      <c r="F47" s="7">
        <f ca="1" t="shared" si="1"/>
        <v>279.376819749468</v>
      </c>
      <c r="G47" s="7">
        <f ca="1" t="shared" si="2"/>
        <v>9058.9452957658</v>
      </c>
      <c r="I47" s="7"/>
      <c r="J47" s="7"/>
      <c r="K47" s="7"/>
      <c r="L47" s="7"/>
      <c r="M47" s="7"/>
      <c r="O47" s="7"/>
      <c r="P47" s="7"/>
    </row>
    <row r="48" spans="1:16">
      <c r="A48" s="27">
        <v>10</v>
      </c>
      <c r="B48" s="16">
        <f ca="1" t="shared" si="3"/>
        <v>45992</v>
      </c>
      <c r="C48" s="7">
        <f ca="1" t="shared" si="4"/>
        <v>9058.9452957658</v>
      </c>
      <c r="D48" s="7">
        <f ca="1" t="shared" si="5"/>
        <v>116.04438491093</v>
      </c>
      <c r="E48" s="28">
        <f ca="1" t="shared" si="0"/>
        <v>399</v>
      </c>
      <c r="F48" s="7">
        <f ca="1" t="shared" si="1"/>
        <v>282.95561508907</v>
      </c>
      <c r="G48" s="7">
        <f ca="1" t="shared" si="2"/>
        <v>8775.98968067673</v>
      </c>
      <c r="I48" s="7"/>
      <c r="J48" s="7"/>
      <c r="K48" s="7"/>
      <c r="L48" s="7"/>
      <c r="M48" s="7"/>
      <c r="O48" s="7"/>
      <c r="P48" s="7"/>
    </row>
    <row r="49" spans="1:16">
      <c r="A49" s="15">
        <v>11</v>
      </c>
      <c r="B49" s="16">
        <f ca="1" t="shared" si="3"/>
        <v>46023</v>
      </c>
      <c r="C49" s="7">
        <f ca="1" t="shared" si="4"/>
        <v>8775.98968067673</v>
      </c>
      <c r="D49" s="7">
        <f ca="1" t="shared" si="5"/>
        <v>112.419745481276</v>
      </c>
      <c r="E49" s="28">
        <f ca="1" t="shared" si="0"/>
        <v>399</v>
      </c>
      <c r="F49" s="7">
        <f ca="1" t="shared" si="1"/>
        <v>286.580254518724</v>
      </c>
      <c r="G49" s="7">
        <f ca="1" t="shared" si="2"/>
        <v>8489.40942615801</v>
      </c>
      <c r="I49" s="7"/>
      <c r="J49" s="7"/>
      <c r="K49" s="7"/>
      <c r="L49" s="7"/>
      <c r="M49" s="7"/>
      <c r="O49" s="7"/>
      <c r="P49" s="7"/>
    </row>
    <row r="50" spans="1:16">
      <c r="A50" s="15">
        <v>12</v>
      </c>
      <c r="B50" s="16">
        <f ca="1" t="shared" si="3"/>
        <v>46054</v>
      </c>
      <c r="C50" s="7">
        <f ca="1" t="shared" si="4"/>
        <v>8489.40942615801</v>
      </c>
      <c r="D50" s="7">
        <f ca="1" t="shared" si="5"/>
        <v>108.748674702343</v>
      </c>
      <c r="E50" s="28">
        <f ca="1" t="shared" si="0"/>
        <v>399</v>
      </c>
      <c r="F50" s="7">
        <f ca="1" t="shared" si="1"/>
        <v>290.251325297657</v>
      </c>
      <c r="G50" s="7">
        <f ca="1" t="shared" si="2"/>
        <v>8199.15810086035</v>
      </c>
      <c r="I50" s="7"/>
      <c r="J50" s="7"/>
      <c r="K50" s="7"/>
      <c r="L50" s="7"/>
      <c r="M50" s="7"/>
      <c r="O50" s="7"/>
      <c r="P50" s="7"/>
    </row>
    <row r="51" spans="1:16">
      <c r="A51" s="15">
        <v>13</v>
      </c>
      <c r="B51" s="16">
        <f ca="1" t="shared" si="3"/>
        <v>46082</v>
      </c>
      <c r="C51" s="7">
        <f ca="1" t="shared" si="4"/>
        <v>8199.15810086035</v>
      </c>
      <c r="D51" s="7">
        <f ca="1" t="shared" si="5"/>
        <v>105.030577792155</v>
      </c>
      <c r="E51" s="28">
        <f ca="1" t="shared" si="0"/>
        <v>399</v>
      </c>
      <c r="F51" s="7">
        <f ca="1" t="shared" si="1"/>
        <v>293.969422207845</v>
      </c>
      <c r="G51" s="7">
        <f ca="1" t="shared" si="2"/>
        <v>7905.18867865251</v>
      </c>
      <c r="I51" s="7"/>
      <c r="J51" s="7"/>
      <c r="K51" s="7"/>
      <c r="L51" s="7"/>
      <c r="M51" s="7"/>
      <c r="O51" s="7"/>
      <c r="P51" s="7"/>
    </row>
    <row r="52" spans="1:16">
      <c r="A52" s="15">
        <v>14</v>
      </c>
      <c r="B52" s="16">
        <f ca="1" t="shared" si="3"/>
        <v>46113</v>
      </c>
      <c r="C52" s="7">
        <f ca="1" t="shared" si="4"/>
        <v>7905.18867865251</v>
      </c>
      <c r="D52" s="7">
        <f ca="1" t="shared" si="5"/>
        <v>101.264852349627</v>
      </c>
      <c r="E52" s="28">
        <f ca="1" t="shared" si="0"/>
        <v>399</v>
      </c>
      <c r="F52" s="7">
        <f ca="1" t="shared" si="1"/>
        <v>297.735147650373</v>
      </c>
      <c r="G52" s="7">
        <f ca="1" t="shared" si="2"/>
        <v>7607.45353100213</v>
      </c>
      <c r="I52" s="7"/>
      <c r="J52" s="7"/>
      <c r="K52" s="7"/>
      <c r="L52" s="7"/>
      <c r="M52" s="7"/>
      <c r="O52" s="7"/>
      <c r="P52" s="7"/>
    </row>
    <row r="53" spans="1:16">
      <c r="A53" s="15">
        <v>15</v>
      </c>
      <c r="B53" s="16">
        <f ca="1" t="shared" si="3"/>
        <v>46143</v>
      </c>
      <c r="C53" s="7">
        <f ca="1" t="shared" si="4"/>
        <v>7607.45353100213</v>
      </c>
      <c r="D53" s="7">
        <f ca="1" t="shared" si="5"/>
        <v>97.4508882569639</v>
      </c>
      <c r="E53" s="28">
        <f ca="1" t="shared" si="0"/>
        <v>399</v>
      </c>
      <c r="F53" s="7">
        <f ca="1" t="shared" si="1"/>
        <v>301.549111743036</v>
      </c>
      <c r="G53" s="7">
        <f ca="1" t="shared" si="2"/>
        <v>7305.9044192591</v>
      </c>
      <c r="I53" s="7"/>
      <c r="J53" s="7"/>
      <c r="K53" s="7"/>
      <c r="L53" s="7"/>
      <c r="M53" s="7"/>
      <c r="O53" s="7"/>
      <c r="P53" s="7"/>
    </row>
    <row r="54" spans="1:16">
      <c r="A54" s="15">
        <v>16</v>
      </c>
      <c r="B54" s="16">
        <f ca="1" t="shared" si="3"/>
        <v>46174</v>
      </c>
      <c r="C54" s="7">
        <f ca="1" t="shared" si="4"/>
        <v>7305.9044192591</v>
      </c>
      <c r="D54" s="7">
        <f ca="1" t="shared" si="5"/>
        <v>93.5880675808071</v>
      </c>
      <c r="E54" s="28">
        <f ca="1" t="shared" si="0"/>
        <v>399</v>
      </c>
      <c r="F54" s="7">
        <f ca="1" t="shared" si="1"/>
        <v>305.411932419193</v>
      </c>
      <c r="G54" s="7">
        <f ca="1" t="shared" si="2"/>
        <v>7000.4924868399</v>
      </c>
      <c r="I54" s="7"/>
      <c r="J54" s="7"/>
      <c r="K54" s="7"/>
      <c r="L54" s="7"/>
      <c r="M54" s="7"/>
      <c r="O54" s="7"/>
      <c r="P54" s="7"/>
    </row>
    <row r="55" spans="1:16">
      <c r="A55" s="15">
        <v>17</v>
      </c>
      <c r="B55" s="16">
        <f ca="1" t="shared" si="3"/>
        <v>46204</v>
      </c>
      <c r="C55" s="7">
        <f ca="1" t="shared" si="4"/>
        <v>7000.4924868399</v>
      </c>
      <c r="D55" s="7">
        <f ca="1" t="shared" si="5"/>
        <v>89.6757644721208</v>
      </c>
      <c r="E55" s="28">
        <f ca="1" t="shared" si="0"/>
        <v>399</v>
      </c>
      <c r="F55" s="7">
        <f ca="1" t="shared" si="1"/>
        <v>309.324235527879</v>
      </c>
      <c r="G55" s="7">
        <f ca="1" t="shared" si="2"/>
        <v>6691.16825131203</v>
      </c>
      <c r="I55" s="7"/>
      <c r="J55" s="7"/>
      <c r="K55" s="7"/>
      <c r="L55" s="7"/>
      <c r="M55" s="7"/>
      <c r="O55" s="7"/>
      <c r="P55" s="7"/>
    </row>
    <row r="56" spans="1:16">
      <c r="A56" s="15">
        <v>18</v>
      </c>
      <c r="B56" s="16">
        <f ca="1" t="shared" si="3"/>
        <v>46235</v>
      </c>
      <c r="C56" s="7">
        <f ca="1" t="shared" si="4"/>
        <v>6691.16825131203</v>
      </c>
      <c r="D56" s="7">
        <f ca="1" t="shared" si="5"/>
        <v>85.7133450647916</v>
      </c>
      <c r="E56" s="28">
        <f ca="1" t="shared" si="0"/>
        <v>399</v>
      </c>
      <c r="F56" s="7">
        <f ca="1" t="shared" si="1"/>
        <v>313.286654935208</v>
      </c>
      <c r="G56" s="7">
        <f ca="1" t="shared" si="2"/>
        <v>6377.88159637682</v>
      </c>
      <c r="I56" s="7"/>
      <c r="J56" s="7"/>
      <c r="K56" s="7"/>
      <c r="L56" s="7"/>
      <c r="M56" s="7"/>
      <c r="O56" s="7"/>
      <c r="P56" s="7"/>
    </row>
    <row r="57" spans="1:16">
      <c r="A57" s="15">
        <v>19</v>
      </c>
      <c r="B57" s="16">
        <f ca="1" t="shared" si="3"/>
        <v>46266</v>
      </c>
      <c r="C57" s="7">
        <f ca="1" t="shared" si="4"/>
        <v>6377.88159637682</v>
      </c>
      <c r="D57" s="7">
        <f ca="1" t="shared" si="5"/>
        <v>81.7001673729303</v>
      </c>
      <c r="E57" s="28">
        <f ca="1" t="shared" si="0"/>
        <v>399</v>
      </c>
      <c r="F57" s="7">
        <f ca="1" t="shared" si="1"/>
        <v>317.29983262707</v>
      </c>
      <c r="G57" s="7">
        <f ca="1" t="shared" si="2"/>
        <v>6060.58176374975</v>
      </c>
      <c r="I57" s="7"/>
      <c r="J57" s="7"/>
      <c r="K57" s="7"/>
      <c r="L57" s="7"/>
      <c r="M57" s="7"/>
      <c r="O57" s="7"/>
      <c r="P57" s="7"/>
    </row>
    <row r="58" spans="1:16">
      <c r="A58" s="15">
        <v>20</v>
      </c>
      <c r="B58" s="16">
        <f ca="1" t="shared" si="3"/>
        <v>46296</v>
      </c>
      <c r="C58" s="7">
        <f ca="1" t="shared" si="4"/>
        <v>6060.58176374975</v>
      </c>
      <c r="D58" s="7">
        <f ca="1" t="shared" si="5"/>
        <v>77.6355811868586</v>
      </c>
      <c r="E58" s="28">
        <f ca="1" t="shared" si="0"/>
        <v>399</v>
      </c>
      <c r="F58" s="7">
        <f ca="1" t="shared" si="1"/>
        <v>321.364418813141</v>
      </c>
      <c r="G58" s="7">
        <f ca="1" t="shared" si="2"/>
        <v>5739.21734493661</v>
      </c>
      <c r="I58" s="7"/>
      <c r="J58" s="7"/>
      <c r="K58" s="7"/>
      <c r="L58" s="7"/>
      <c r="M58" s="7"/>
      <c r="O58" s="7"/>
      <c r="P58" s="7"/>
    </row>
    <row r="59" spans="1:16">
      <c r="A59" s="15">
        <v>21</v>
      </c>
      <c r="B59" s="16">
        <f ca="1" t="shared" si="3"/>
        <v>46327</v>
      </c>
      <c r="C59" s="7">
        <f ca="1" t="shared" si="4"/>
        <v>5739.21734493661</v>
      </c>
      <c r="D59" s="7">
        <f ca="1" t="shared" si="5"/>
        <v>73.5189279677625</v>
      </c>
      <c r="E59" s="28">
        <f ca="1" t="shared" si="0"/>
        <v>399</v>
      </c>
      <c r="F59" s="7">
        <f ca="1" t="shared" si="1"/>
        <v>325.481072032237</v>
      </c>
      <c r="G59" s="7">
        <f ca="1" t="shared" si="2"/>
        <v>5413.73627290437</v>
      </c>
      <c r="I59" s="7"/>
      <c r="J59" s="7"/>
      <c r="K59" s="7"/>
      <c r="L59" s="7"/>
      <c r="M59" s="7"/>
      <c r="O59" s="7"/>
      <c r="P59" s="7"/>
    </row>
    <row r="60" spans="1:16">
      <c r="A60" s="15">
        <v>22</v>
      </c>
      <c r="B60" s="16">
        <f ca="1" t="shared" si="3"/>
        <v>46357</v>
      </c>
      <c r="C60" s="7">
        <f ca="1" t="shared" si="4"/>
        <v>5413.73627290437</v>
      </c>
      <c r="D60" s="7">
        <f ca="1" t="shared" si="5"/>
        <v>69.3495407409973</v>
      </c>
      <c r="E60" s="28">
        <f ca="1" t="shared" si="0"/>
        <v>399</v>
      </c>
      <c r="F60" s="7">
        <f ca="1" t="shared" si="1"/>
        <v>329.650459259003</v>
      </c>
      <c r="G60" s="7">
        <f ca="1" t="shared" si="2"/>
        <v>5084.08581364537</v>
      </c>
      <c r="I60" s="7"/>
      <c r="J60" s="7"/>
      <c r="K60" s="7"/>
      <c r="L60" s="7"/>
      <c r="M60" s="7"/>
      <c r="O60" s="7"/>
      <c r="P60" s="7"/>
    </row>
    <row r="61" spans="1:16">
      <c r="A61" s="15">
        <v>23</v>
      </c>
      <c r="B61" s="16">
        <f ca="1" t="shared" si="3"/>
        <v>46388</v>
      </c>
      <c r="C61" s="7">
        <f ca="1" t="shared" si="4"/>
        <v>5084.08581364537</v>
      </c>
      <c r="D61" s="7">
        <f ca="1" t="shared" si="5"/>
        <v>65.1267439880247</v>
      </c>
      <c r="E61" s="28">
        <f ca="1" t="shared" si="0"/>
        <v>399</v>
      </c>
      <c r="F61" s="7">
        <f ca="1" t="shared" si="1"/>
        <v>333.873256011975</v>
      </c>
      <c r="G61" s="7">
        <f ca="1" t="shared" si="2"/>
        <v>4750.21255763339</v>
      </c>
      <c r="I61" s="7"/>
      <c r="J61" s="7"/>
      <c r="K61" s="7"/>
      <c r="L61" s="7"/>
      <c r="M61" s="7"/>
      <c r="O61" s="7"/>
      <c r="P61" s="7"/>
    </row>
    <row r="62" spans="1:16">
      <c r="A62" s="15">
        <v>24</v>
      </c>
      <c r="B62" s="16">
        <f ca="1" t="shared" si="3"/>
        <v>46419</v>
      </c>
      <c r="C62" s="7">
        <f ca="1" t="shared" si="4"/>
        <v>4750.21255763339</v>
      </c>
      <c r="D62" s="7">
        <f ca="1" t="shared" si="5"/>
        <v>60.8498535369665</v>
      </c>
      <c r="E62" s="28">
        <f ca="1" t="shared" si="0"/>
        <v>399</v>
      </c>
      <c r="F62" s="7">
        <f ca="1" t="shared" si="1"/>
        <v>338.150146463033</v>
      </c>
      <c r="G62" s="7">
        <f ca="1" t="shared" si="2"/>
        <v>4412.06241117036</v>
      </c>
      <c r="I62" s="7"/>
      <c r="J62" s="7"/>
      <c r="K62" s="7"/>
      <c r="L62" s="7"/>
      <c r="M62" s="7"/>
      <c r="O62" s="7"/>
      <c r="P62" s="7"/>
    </row>
    <row r="63" spans="1:16">
      <c r="A63" s="15">
        <v>25</v>
      </c>
      <c r="B63" s="16">
        <f ca="1" t="shared" si="3"/>
        <v>46447</v>
      </c>
      <c r="C63" s="7">
        <f ca="1" t="shared" si="4"/>
        <v>4412.06241117036</v>
      </c>
      <c r="D63" s="7">
        <f ca="1" t="shared" si="5"/>
        <v>56.5181764517561</v>
      </c>
      <c r="E63" s="28">
        <f ca="1" t="shared" si="0"/>
        <v>399</v>
      </c>
      <c r="F63" s="7">
        <f ca="1" t="shared" si="1"/>
        <v>342.481823548244</v>
      </c>
      <c r="G63" s="7">
        <f ca="1" t="shared" si="2"/>
        <v>4069.58058762211</v>
      </c>
      <c r="I63" s="7"/>
      <c r="J63" s="7"/>
      <c r="K63" s="7"/>
      <c r="L63" s="7"/>
      <c r="M63" s="7"/>
      <c r="O63" s="7"/>
      <c r="P63" s="7"/>
    </row>
    <row r="64" spans="1:16">
      <c r="A64" s="15">
        <v>26</v>
      </c>
      <c r="B64" s="16">
        <f ca="1" t="shared" si="3"/>
        <v>46478</v>
      </c>
      <c r="C64" s="7">
        <f ca="1" t="shared" si="4"/>
        <v>4069.58058762211</v>
      </c>
      <c r="D64" s="7">
        <f ca="1" t="shared" si="5"/>
        <v>52.1310109198695</v>
      </c>
      <c r="E64" s="28">
        <f ca="1" t="shared" si="0"/>
        <v>399</v>
      </c>
      <c r="F64" s="7">
        <f ca="1" t="shared" si="1"/>
        <v>346.86898908013</v>
      </c>
      <c r="G64" s="7">
        <f ca="1" t="shared" si="2"/>
        <v>3722.71159854198</v>
      </c>
      <c r="I64" s="7"/>
      <c r="J64" s="7"/>
      <c r="K64" s="7"/>
      <c r="L64" s="7"/>
      <c r="M64" s="7"/>
      <c r="O64" s="7"/>
      <c r="P64" s="7"/>
    </row>
    <row r="65" spans="1:16">
      <c r="A65" s="15">
        <v>27</v>
      </c>
      <c r="B65" s="16">
        <f ca="1" t="shared" si="3"/>
        <v>46508</v>
      </c>
      <c r="C65" s="7">
        <f ca="1" t="shared" si="4"/>
        <v>3722.71159854198</v>
      </c>
      <c r="D65" s="7">
        <f ca="1" t="shared" si="5"/>
        <v>47.6876461386191</v>
      </c>
      <c r="E65" s="28">
        <f ca="1" t="shared" si="0"/>
        <v>399</v>
      </c>
      <c r="F65" s="7">
        <f ca="1" t="shared" si="1"/>
        <v>351.312353861381</v>
      </c>
      <c r="G65" s="7">
        <f ca="1" t="shared" si="2"/>
        <v>3371.3992446806</v>
      </c>
      <c r="I65" s="7"/>
      <c r="J65" s="7"/>
      <c r="K65" s="7"/>
      <c r="L65" s="7"/>
      <c r="M65" s="7"/>
      <c r="O65" s="7"/>
      <c r="P65" s="7"/>
    </row>
    <row r="66" spans="1:16">
      <c r="A66" s="15">
        <v>28</v>
      </c>
      <c r="B66" s="16">
        <f ca="1" t="shared" si="3"/>
        <v>46539</v>
      </c>
      <c r="C66" s="7">
        <f ca="1" t="shared" si="4"/>
        <v>3371.3992446806</v>
      </c>
      <c r="D66" s="7">
        <f ca="1" t="shared" si="5"/>
        <v>43.18736219999</v>
      </c>
      <c r="E66" s="28">
        <f ca="1" t="shared" si="0"/>
        <v>399</v>
      </c>
      <c r="F66" s="7">
        <f ca="1" t="shared" si="1"/>
        <v>355.81263780001</v>
      </c>
      <c r="G66" s="7">
        <f ca="1" t="shared" si="2"/>
        <v>3015.58660688059</v>
      </c>
      <c r="I66" s="7"/>
      <c r="J66" s="7"/>
      <c r="K66" s="7"/>
      <c r="L66" s="7"/>
      <c r="M66" s="7"/>
      <c r="O66" s="7"/>
      <c r="P66" s="7"/>
    </row>
    <row r="67" spans="1:16">
      <c r="A67" s="15">
        <v>29</v>
      </c>
      <c r="B67" s="16">
        <f ca="1" t="shared" si="3"/>
        <v>46569</v>
      </c>
      <c r="C67" s="7">
        <f ca="1" t="shared" si="4"/>
        <v>3015.58660688059</v>
      </c>
      <c r="D67" s="7">
        <f ca="1" t="shared" si="5"/>
        <v>38.6294299740015</v>
      </c>
      <c r="E67" s="28">
        <f ca="1" t="shared" si="0"/>
        <v>399</v>
      </c>
      <c r="F67" s="7">
        <f ca="1" t="shared" si="1"/>
        <v>360.370570025998</v>
      </c>
      <c r="G67" s="7">
        <f ca="1" t="shared" si="2"/>
        <v>2655.21603685459</v>
      </c>
      <c r="I67" s="7"/>
      <c r="J67" s="7"/>
      <c r="K67" s="7"/>
      <c r="L67" s="7"/>
      <c r="M67" s="7"/>
      <c r="O67" s="7"/>
      <c r="P67" s="7"/>
    </row>
    <row r="68" spans="1:16">
      <c r="A68" s="15">
        <v>30</v>
      </c>
      <c r="B68" s="16">
        <f ca="1" t="shared" si="3"/>
        <v>46600</v>
      </c>
      <c r="C68" s="7">
        <f ca="1" t="shared" si="4"/>
        <v>2655.21603685459</v>
      </c>
      <c r="D68" s="7">
        <f ca="1" t="shared" si="5"/>
        <v>34.0131109905748</v>
      </c>
      <c r="E68" s="28">
        <f ca="1" t="shared" si="0"/>
        <v>399</v>
      </c>
      <c r="F68" s="7">
        <f ca="1" t="shared" si="1"/>
        <v>364.986889009425</v>
      </c>
      <c r="G68" s="7">
        <f ca="1" t="shared" si="2"/>
        <v>2290.22914784517</v>
      </c>
      <c r="I68" s="7"/>
      <c r="J68" s="7"/>
      <c r="K68" s="7"/>
      <c r="L68" s="7"/>
      <c r="M68" s="7"/>
      <c r="O68" s="7"/>
      <c r="P68" s="7"/>
    </row>
    <row r="69" spans="1:16">
      <c r="A69" s="15">
        <v>31</v>
      </c>
      <c r="B69" s="16">
        <f ca="1" t="shared" si="3"/>
        <v>46631</v>
      </c>
      <c r="C69" s="7">
        <f ca="1" t="shared" si="4"/>
        <v>2290.22914784517</v>
      </c>
      <c r="D69" s="7">
        <f ca="1" t="shared" si="5"/>
        <v>29.3376573198865</v>
      </c>
      <c r="E69" s="28">
        <f ca="1" t="shared" si="0"/>
        <v>399</v>
      </c>
      <c r="F69" s="7">
        <f ca="1" t="shared" si="1"/>
        <v>369.662342680114</v>
      </c>
      <c r="G69" s="7">
        <f ca="1" t="shared" si="2"/>
        <v>1920.56680516505</v>
      </c>
      <c r="I69" s="7"/>
      <c r="J69" s="7"/>
      <c r="K69" s="7"/>
      <c r="L69" s="7"/>
      <c r="M69" s="7"/>
      <c r="O69" s="7"/>
      <c r="P69" s="7"/>
    </row>
    <row r="70" spans="1:16">
      <c r="A70" s="15">
        <v>32</v>
      </c>
      <c r="B70" s="16">
        <f ca="1" t="shared" si="3"/>
        <v>46661</v>
      </c>
      <c r="C70" s="7">
        <f ca="1" t="shared" si="4"/>
        <v>1920.56680516505</v>
      </c>
      <c r="D70" s="7">
        <f ca="1" t="shared" si="5"/>
        <v>24.6023114511906</v>
      </c>
      <c r="E70" s="28">
        <f ca="1" t="shared" si="0"/>
        <v>399</v>
      </c>
      <c r="F70" s="7">
        <f ca="1" t="shared" si="1"/>
        <v>374.397688548809</v>
      </c>
      <c r="G70" s="7">
        <f ca="1" t="shared" si="2"/>
        <v>1546.16911661625</v>
      </c>
      <c r="I70" s="7"/>
      <c r="J70" s="7"/>
      <c r="K70" s="7"/>
      <c r="L70" s="7"/>
      <c r="M70" s="7"/>
      <c r="O70" s="7"/>
      <c r="P70" s="7"/>
    </row>
    <row r="71" spans="1:16">
      <c r="A71" s="15">
        <v>33</v>
      </c>
      <c r="B71" s="16">
        <f ca="1" t="shared" si="3"/>
        <v>46692</v>
      </c>
      <c r="C71" s="7">
        <f ca="1" t="shared" si="4"/>
        <v>1546.16911661625</v>
      </c>
      <c r="D71" s="7">
        <f ca="1" t="shared" si="5"/>
        <v>19.8063061700871</v>
      </c>
      <c r="E71" s="28">
        <f ca="1" t="shared" si="0"/>
        <v>399</v>
      </c>
      <c r="F71" s="7">
        <f ca="1" t="shared" si="1"/>
        <v>379.193693829913</v>
      </c>
      <c r="G71" s="7">
        <f ca="1" t="shared" si="2"/>
        <v>1166.97542278633</v>
      </c>
      <c r="I71" s="7"/>
      <c r="J71" s="7"/>
      <c r="K71" s="7"/>
      <c r="L71" s="7"/>
      <c r="M71" s="7"/>
      <c r="O71" s="7"/>
      <c r="P71" s="7"/>
    </row>
    <row r="72" spans="1:16">
      <c r="A72" s="15">
        <v>34</v>
      </c>
      <c r="B72" s="16">
        <f ca="1" t="shared" si="3"/>
        <v>46722</v>
      </c>
      <c r="C72" s="7">
        <f ca="1" t="shared" si="4"/>
        <v>1166.97542278633</v>
      </c>
      <c r="D72" s="7">
        <f ca="1" t="shared" si="5"/>
        <v>14.9488644342193</v>
      </c>
      <c r="E72" s="28">
        <f ca="1" t="shared" si="0"/>
        <v>399</v>
      </c>
      <c r="F72" s="7">
        <f ca="1" t="shared" si="1"/>
        <v>384.051135565781</v>
      </c>
      <c r="G72" s="7">
        <f ca="1" t="shared" si="2"/>
        <v>782.924287220552</v>
      </c>
      <c r="I72" s="7"/>
      <c r="J72" s="7"/>
      <c r="K72" s="7"/>
      <c r="L72" s="7"/>
      <c r="M72" s="7"/>
      <c r="O72" s="7"/>
      <c r="P72" s="7"/>
    </row>
    <row r="73" spans="1:16">
      <c r="A73" s="15">
        <v>35</v>
      </c>
      <c r="B73" s="16">
        <f ca="1" t="shared" si="3"/>
        <v>46753</v>
      </c>
      <c r="C73" s="7">
        <f ca="1" t="shared" si="4"/>
        <v>782.924287220552</v>
      </c>
      <c r="D73" s="7">
        <f ca="1" t="shared" si="5"/>
        <v>10.0291992473784</v>
      </c>
      <c r="E73" s="28">
        <f ca="1" t="shared" si="0"/>
        <v>399</v>
      </c>
      <c r="F73" s="7">
        <f ca="1" t="shared" si="1"/>
        <v>388.970800752622</v>
      </c>
      <c r="G73" s="7">
        <f ca="1" t="shared" si="2"/>
        <v>393.95348646793</v>
      </c>
      <c r="I73" s="7"/>
      <c r="J73" s="7"/>
      <c r="K73" s="7"/>
      <c r="L73" s="7"/>
      <c r="M73" s="7"/>
      <c r="O73" s="7"/>
      <c r="P73" s="7"/>
    </row>
    <row r="74" spans="1:16">
      <c r="A74" s="15">
        <v>36</v>
      </c>
      <c r="B74" s="16">
        <f ca="1" t="shared" si="3"/>
        <v>46784</v>
      </c>
      <c r="C74" s="7">
        <f ca="1" t="shared" si="4"/>
        <v>393.95348646793</v>
      </c>
      <c r="D74" s="7">
        <f ca="1" t="shared" si="5"/>
        <v>5.04651353199529</v>
      </c>
      <c r="E74" s="28">
        <f ca="1" t="shared" si="0"/>
        <v>399</v>
      </c>
      <c r="F74" s="7">
        <f ca="1" t="shared" si="1"/>
        <v>393.953486468005</v>
      </c>
      <c r="G74" s="7">
        <f ca="1" t="shared" si="2"/>
        <v>-7.46354089642409e-11</v>
      </c>
      <c r="I74" s="7"/>
      <c r="J74" s="7"/>
      <c r="K74" s="7"/>
      <c r="L74" s="7"/>
      <c r="M74" s="7"/>
      <c r="O74" s="7"/>
      <c r="P74" s="7"/>
    </row>
    <row r="75" spans="1:16">
      <c r="A75" s="15"/>
      <c r="B75" s="16"/>
      <c r="C75" s="7"/>
      <c r="D75" s="29">
        <f ca="1">SUM(D39:D74)</f>
        <v>2914.18666666659</v>
      </c>
      <c r="E75" s="7"/>
      <c r="F75" s="29">
        <f ca="1">SUM(F39:F74)</f>
        <v>11449.8133333334</v>
      </c>
      <c r="G75" s="7"/>
      <c r="I75" s="7"/>
      <c r="J75" s="7"/>
      <c r="K75" s="7"/>
    </row>
    <row r="76" spans="1:16">
      <c r="A76" s="2" t="s">
        <v>146</v>
      </c>
      <c r="B76" s="16"/>
      <c r="D76" s="2" t="s">
        <v>147</v>
      </c>
      <c r="E76" s="7">
        <f ca="1">SUM(D39:D74)</f>
        <v>2914.18666666659</v>
      </c>
      <c r="J76" s="2"/>
      <c r="K76" s="7"/>
    </row>
    <row r="77" spans="1:16">
      <c r="D77" s="2" t="s">
        <v>148</v>
      </c>
      <c r="E77" s="7">
        <f ca="1">SUM(E39:E74)</f>
        <v>14364</v>
      </c>
      <c r="J77" s="2"/>
      <c r="K77" s="7"/>
    </row>
  </sheetData>
  <mergeCells count="1">
    <mergeCell ref="A1:F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Z77"/>
  <sheetViews>
    <sheetView workbookViewId="0">
      <selection activeCell="F78" sqref="F78"/>
    </sheetView>
  </sheetViews>
  <sheetFormatPr defaultColWidth="9" defaultRowHeight="14.4"/>
  <cols>
    <col min="1" max="7" width="14.1666666666667" style="1" customWidth="1"/>
    <col min="8" max="8" width="4.66666666666667" style="1" customWidth="1"/>
    <col min="9" max="13" width="14.1666666666667" style="1" customWidth="1"/>
    <col min="14" max="14" width="4.66666666666667" style="1" customWidth="1"/>
    <col min="15" max="18" width="14.1666666666667" style="1" customWidth="1"/>
    <col min="19" max="20" width="9" style="1" customWidth="1"/>
    <col min="21" max="16384" width="9" style="1"/>
  </cols>
  <sheetData>
    <row r="1" ht="18.75" customHeight="1" spans="1:26">
      <c r="A1" s="2" t="str">
        <f ca="1">IFERROR(INDEX('List of customer'!D:D,MATCH($S$1,'List of customer'!$B:$B,0)),"")</f>
        <v>KAM KITCHENS HOME SDN BHD</v>
      </c>
      <c r="K1" s="2" t="s">
        <v>87</v>
      </c>
      <c r="L1" s="3">
        <v>46022</v>
      </c>
      <c r="S1" s="4" t="str">
        <f ca="1" t="array" ref="S1">MID(CELL("filename",A1),FIND("]",CELL("filename",A1))+1,255)</f>
        <v>SO25-0006</v>
      </c>
      <c r="Z1" t="s">
        <v>71</v>
      </c>
    </row>
    <row r="2" spans="1:26">
      <c r="E2" s="5" t="s">
        <v>149</v>
      </c>
      <c r="F2" s="6"/>
      <c r="I2" s="7">
        <f ca="1">SUM(I3:I18)</f>
        <v>0</v>
      </c>
      <c r="K2" s="2" t="s">
        <v>89</v>
      </c>
      <c r="L2" s="8">
        <v>45658</v>
      </c>
    </row>
    <row r="3" spans="1:26">
      <c r="A3" s="2" t="s">
        <v>90</v>
      </c>
      <c r="B3" s="2"/>
      <c r="C3" s="1" t="str">
        <f ca="1">IFERROR(INDEX('List of customer'!C:C,MATCH($S$1,'List of customer'!$B:$B,0)),"")</f>
        <v>Rent-to-own Dishwasher</v>
      </c>
      <c r="E3" s="2" t="s">
        <v>91</v>
      </c>
    </row>
    <row r="4" spans="1:26">
      <c r="A4" s="1" t="s">
        <v>92</v>
      </c>
      <c r="C4" s="7">
        <f ca="1">IFERROR(INDEX('List of customer'!N:N,MATCH($S$1,'List of customer'!$B:$B,0)),"")</f>
        <v>10000</v>
      </c>
      <c r="E4" s="1" t="s">
        <v>93</v>
      </c>
      <c r="I4" s="7">
        <f ca="1">$C$39</f>
        <v>14015</v>
      </c>
      <c r="J4" s="9" t="s">
        <v>94</v>
      </c>
    </row>
    <row r="5" spans="1:26">
      <c r="A5" s="1" t="s">
        <v>95</v>
      </c>
      <c r="C5" s="10" t="str">
        <f ca="1">LEFT(IFERROR(INDEX('List of customer'!G:G,MATCH($S$1,'List of customer'!$B:$B,0)),""),2)</f>
        <v>36</v>
      </c>
      <c r="E5" s="11" t="s">
        <v>96</v>
      </c>
      <c r="I5" s="7">
        <f ca="1">-C25</f>
        <v>-9214.67870767763</v>
      </c>
      <c r="J5" s="9" t="s">
        <v>97</v>
      </c>
    </row>
    <row r="6" spans="1:26">
      <c r="A6" s="1" t="s">
        <v>48</v>
      </c>
      <c r="C6" s="12">
        <f ca="1">IFERROR(INDEX('List of customer'!E:E,MATCH($S$1,'List of customer'!$B:$B,0)),"")</f>
        <v>45809</v>
      </c>
      <c r="E6" s="11" t="s">
        <v>98</v>
      </c>
      <c r="I6" s="7">
        <f ca="1">-C26</f>
        <v>-4800.32129232237</v>
      </c>
      <c r="J6" s="9" t="s">
        <v>99</v>
      </c>
    </row>
    <row r="7" spans="1:26">
      <c r="A7" s="1" t="s">
        <v>49</v>
      </c>
      <c r="C7" s="12">
        <f ca="1">IFERROR(INDEX('List of customer'!F:F,MATCH($S$1,'List of customer'!$B:$B,0)),"")</f>
        <v>46904</v>
      </c>
      <c r="J7" s="9"/>
    </row>
    <row r="8" spans="1:26">
      <c r="A8" s="1" t="s">
        <v>100</v>
      </c>
      <c r="C8" s="7">
        <f ca="1">IFERROR(INDEX('List of customer'!J:J,MATCH($S$1,'List of customer'!$B:$B,0)),"")</f>
        <v>699</v>
      </c>
      <c r="E8" s="1" t="s">
        <v>101</v>
      </c>
      <c r="I8" s="7">
        <f ca="1">C32</f>
        <v>10000</v>
      </c>
      <c r="J8" s="9"/>
    </row>
    <row r="9" spans="1:26">
      <c r="A9" s="1" t="s">
        <v>102</v>
      </c>
      <c r="C9" s="7">
        <f ca="1">C17</f>
        <v>14015</v>
      </c>
      <c r="E9" s="11" t="s">
        <v>103</v>
      </c>
      <c r="I9" s="7">
        <f ca="1">-I8</f>
        <v>-10000</v>
      </c>
      <c r="J9" s="9" t="s">
        <v>104</v>
      </c>
    </row>
    <row r="10" spans="1:26">
      <c r="C10" s="13"/>
      <c r="J10" s="9"/>
    </row>
    <row r="11" spans="1:26">
      <c r="A11" s="1" t="s">
        <v>105</v>
      </c>
      <c r="C11" s="10" t="str">
        <f ca="1">IF(C9=0,"No","Yes")</f>
        <v>Yes</v>
      </c>
      <c r="E11" s="2" t="s">
        <v>106</v>
      </c>
      <c r="I11" s="7"/>
      <c r="J11" s="9"/>
    </row>
    <row r="12" spans="1:26">
      <c r="E12" s="1" t="s">
        <v>107</v>
      </c>
      <c r="I12" s="7">
        <f ca="1">-I6/$C$5*COUNTIFS($B$39:$B$74,"&lt;="&amp;$L$1,$E$39:$E$74,"&gt;"&amp;0,$B$39:$B$74,"&gt;="&amp;$L$2)</f>
        <v>933.39580684046</v>
      </c>
      <c r="J12" s="9" t="s">
        <v>108</v>
      </c>
    </row>
    <row r="13" spans="1:26">
      <c r="A13" s="2" t="s">
        <v>109</v>
      </c>
      <c r="E13" s="11" t="s">
        <v>110</v>
      </c>
      <c r="I13" s="7">
        <f ca="1">-I12</f>
        <v>-933.39580684046</v>
      </c>
      <c r="J13" s="9"/>
    </row>
    <row r="14" spans="1:26">
      <c r="A14" s="1" t="s">
        <v>111</v>
      </c>
      <c r="C14" s="7">
        <f ca="1">IFERROR(INDEX('List of customer'!P:P,MATCH($S$1,'List of customer'!$B:$B,0)),"")</f>
        <v>22634</v>
      </c>
      <c r="J14" s="9"/>
    </row>
    <row r="15" spans="1:26">
      <c r="A15" s="1" t="s">
        <v>112</v>
      </c>
      <c r="C15" s="7">
        <f ca="1">IFERROR(INDEX('List of customer'!Q:Q,MATCH($S$1,'List of customer'!$B:$B,0)),"")</f>
        <v>2873</v>
      </c>
      <c r="E15" s="4" t="s">
        <v>113</v>
      </c>
      <c r="F15" s="4"/>
      <c r="G15" s="4"/>
      <c r="I15" s="7">
        <f ca="1">SUMIFS($E$39:$E$74,$B$39:$B$74,"&lt;="&amp;$L$1,$B$39:$B$74,"&gt;="&amp;$L$2)</f>
        <v>4893</v>
      </c>
      <c r="J15" s="9" t="s">
        <v>114</v>
      </c>
    </row>
    <row r="16" spans="1:26">
      <c r="A16" s="1" t="s">
        <v>115</v>
      </c>
      <c r="C16" s="10" t="str">
        <f ca="1">LEFT(IFERROR(INDEX('List of customer'!S:S,MATCH($S$1,'List of customer'!$B:$B,0)),""),1)</f>
        <v>3</v>
      </c>
      <c r="E16" s="11" t="s">
        <v>116</v>
      </c>
      <c r="G16" s="4"/>
      <c r="I16" s="7">
        <f ca="1">-SUMIFS($F$39:$F$74,$B$39:$B$74,"&lt;="&amp;$L$1,$B$39:$B$74,"&gt;="&amp;$L$2)</f>
        <v>-1534.99627169637</v>
      </c>
      <c r="J16" s="9" t="s">
        <v>117</v>
      </c>
    </row>
    <row r="17" spans="1:10">
      <c r="A17" s="1" t="s">
        <v>118</v>
      </c>
      <c r="C17" s="7">
        <f ca="1">C14-C15*C16</f>
        <v>14015</v>
      </c>
      <c r="E17" s="11" t="s">
        <v>119</v>
      </c>
      <c r="G17" s="4"/>
      <c r="I17" s="7">
        <f ca="1">-SUMIFS($D$39:$D$74,$B$39:$B$74,"&lt;="&amp;$L$1,$B$39:$B$74,"&gt;="&amp;$L$2)</f>
        <v>-3358.00372830363</v>
      </c>
      <c r="J17" s="9" t="s">
        <v>120</v>
      </c>
    </row>
    <row r="18" spans="1:10">
      <c r="E18" s="11"/>
      <c r="I18" s="7"/>
      <c r="J18" s="9"/>
    </row>
    <row r="19" spans="1:10">
      <c r="A19" s="2" t="s">
        <v>121</v>
      </c>
      <c r="I19" s="7"/>
      <c r="J19" s="9"/>
    </row>
    <row r="20" spans="1:10">
      <c r="A20" s="1" t="s">
        <v>122</v>
      </c>
      <c r="C20" s="7">
        <f ca="1">C5*C8</f>
        <v>25164</v>
      </c>
      <c r="J20" s="9"/>
    </row>
    <row r="21" spans="1:10">
      <c r="A21" s="1" t="s">
        <v>123</v>
      </c>
      <c r="C21" s="7">
        <f ca="1">C15*C16</f>
        <v>8619</v>
      </c>
      <c r="D21" s="9" t="s">
        <v>124</v>
      </c>
      <c r="J21" s="9"/>
    </row>
    <row r="22" spans="1:10">
      <c r="A22" s="1" t="s">
        <v>125</v>
      </c>
      <c r="C22" s="7">
        <f ca="1">C20-C21</f>
        <v>16545</v>
      </c>
      <c r="J22" s="9"/>
    </row>
    <row r="23" spans="1:10">
      <c r="E23" s="2"/>
      <c r="I23" s="7"/>
      <c r="J23" s="9"/>
    </row>
    <row r="24" spans="1:10">
      <c r="A24" s="2" t="s">
        <v>126</v>
      </c>
      <c r="C24" s="7"/>
      <c r="I24" s="7"/>
      <c r="J24" s="9"/>
    </row>
    <row r="25" spans="1:10">
      <c r="A25" s="1" t="s">
        <v>127</v>
      </c>
      <c r="C25" s="7">
        <f ca="1">$C$22/$C$20*$C$30</f>
        <v>9214.67870767763</v>
      </c>
      <c r="I25" s="7"/>
      <c r="J25" s="9"/>
    </row>
    <row r="26" spans="1:10">
      <c r="A26" s="1" t="s">
        <v>128</v>
      </c>
      <c r="C26" s="7">
        <f ca="1">$C$21/$C$20*$C$30</f>
        <v>4800.32129232237</v>
      </c>
      <c r="I26" s="7"/>
      <c r="J26" s="9"/>
    </row>
    <row r="27" spans="1:10">
      <c r="I27" s="7"/>
      <c r="J27" s="9"/>
    </row>
    <row r="28" spans="1:10">
      <c r="A28" s="2" t="s">
        <v>129</v>
      </c>
      <c r="B28" s="2"/>
      <c r="I28" s="7"/>
      <c r="J28" s="9"/>
    </row>
    <row r="29" spans="1:10">
      <c r="A29" s="1" t="s">
        <v>130</v>
      </c>
      <c r="C29" s="14">
        <f ca="1">IF(UPPER($C$11)="YES",RATE($C$5,-$C$8,$C$9,0,0),$C$10)</f>
        <v>0.0358317225821541</v>
      </c>
      <c r="I29" s="7"/>
      <c r="J29" s="9"/>
    </row>
    <row r="30" spans="1:10">
      <c r="A30" s="1" t="s">
        <v>132</v>
      </c>
      <c r="C30" s="7">
        <f ca="1">IF(UPPER($C$11)="YES",$C$9,PV($C$29,$C$5,-$C$8,0,0))</f>
        <v>14015</v>
      </c>
      <c r="I30" s="7"/>
      <c r="J30" s="9"/>
    </row>
    <row r="31" spans="1:10">
      <c r="A31" s="1" t="s">
        <v>133</v>
      </c>
      <c r="C31" s="7">
        <f ca="1">C30</f>
        <v>14015</v>
      </c>
      <c r="I31" s="7"/>
      <c r="J31" s="9"/>
    </row>
    <row r="32" spans="1:10">
      <c r="A32" s="1" t="s">
        <v>134</v>
      </c>
      <c r="C32" s="7">
        <f ca="1">IFERROR(INDEX('List of customer'!N:N,MATCH($S$1,'List of customer'!$B:$B,0)),"")</f>
        <v>10000</v>
      </c>
      <c r="I32" s="7"/>
      <c r="J32" s="9"/>
    </row>
    <row r="33" spans="1:16">
      <c r="A33" s="1" t="s">
        <v>135</v>
      </c>
      <c r="C33" s="7">
        <f ca="1">C31-C32</f>
        <v>4015</v>
      </c>
      <c r="I33" s="7"/>
      <c r="J33" s="9"/>
    </row>
    <row r="37" spans="1:16">
      <c r="A37" s="2" t="s">
        <v>136</v>
      </c>
      <c r="I37" s="2"/>
    </row>
    <row r="38" spans="1:16">
      <c r="A38" s="2" t="s">
        <v>139</v>
      </c>
      <c r="B38" s="2" t="s">
        <v>140</v>
      </c>
      <c r="C38" s="2" t="s">
        <v>141</v>
      </c>
      <c r="D38" s="2" t="s">
        <v>142</v>
      </c>
      <c r="E38" s="2" t="s">
        <v>143</v>
      </c>
      <c r="F38" s="2" t="s">
        <v>144</v>
      </c>
      <c r="G38" s="2" t="s">
        <v>145</v>
      </c>
      <c r="I38" s="2"/>
      <c r="J38" s="2"/>
      <c r="K38" s="2"/>
      <c r="L38" s="2"/>
      <c r="M38" s="2"/>
      <c r="O38" s="2"/>
      <c r="P38" s="2"/>
    </row>
    <row r="39" spans="1:16">
      <c r="A39" s="15">
        <v>1</v>
      </c>
      <c r="B39" s="16">
        <f ca="1">$C$6</f>
        <v>45809</v>
      </c>
      <c r="C39" s="7">
        <f ca="1">C30</f>
        <v>14015</v>
      </c>
      <c r="D39" s="7">
        <f ca="1" t="shared" ref="D39:D74" si="0">C39*$C$29</f>
        <v>502.181591988889</v>
      </c>
      <c r="E39" s="7">
        <f ca="1" t="shared" ref="E39:E74" si="1">IF(C39&lt;=1,0,$C$8)</f>
        <v>699</v>
      </c>
      <c r="F39" s="7">
        <f ca="1" t="shared" ref="F39:F74" si="2">E39-D39</f>
        <v>196.818408011111</v>
      </c>
      <c r="G39" s="7">
        <f ca="1" t="shared" ref="G39:G74" si="3">C39-F39</f>
        <v>13818.1815919889</v>
      </c>
      <c r="I39" s="7"/>
      <c r="J39" s="7"/>
      <c r="K39" s="7"/>
      <c r="L39" s="7"/>
      <c r="M39" s="7"/>
      <c r="O39" s="7"/>
      <c r="P39" s="7"/>
    </row>
    <row r="40" spans="1:16">
      <c r="A40" s="15">
        <v>2</v>
      </c>
      <c r="B40" s="16">
        <f ca="1" t="shared" ref="B40:B74" si="4">EDATE(B39,1)</f>
        <v>45839</v>
      </c>
      <c r="C40" s="7">
        <f ca="1" t="shared" ref="C40:C74" si="5">IF(G39&lt;=0,0,G39)</f>
        <v>13818.1815919889</v>
      </c>
      <c r="D40" s="7">
        <f ca="1" t="shared" si="0"/>
        <v>495.129249393974</v>
      </c>
      <c r="E40" s="7">
        <f ca="1" t="shared" si="1"/>
        <v>699</v>
      </c>
      <c r="F40" s="7">
        <f ca="1" t="shared" si="2"/>
        <v>203.870750606026</v>
      </c>
      <c r="G40" s="7">
        <f ca="1" t="shared" si="3"/>
        <v>13614.3108413829</v>
      </c>
      <c r="I40" s="7"/>
      <c r="J40" s="7"/>
      <c r="K40" s="7"/>
      <c r="L40" s="7"/>
      <c r="M40" s="7"/>
      <c r="O40" s="7"/>
      <c r="P40" s="7"/>
    </row>
    <row r="41" spans="1:16">
      <c r="A41" s="15">
        <v>3</v>
      </c>
      <c r="B41" s="16">
        <f ca="1" t="shared" si="4"/>
        <v>45870</v>
      </c>
      <c r="C41" s="7">
        <f ca="1" t="shared" si="5"/>
        <v>13614.3108413829</v>
      </c>
      <c r="D41" s="7">
        <f ca="1" t="shared" si="0"/>
        <v>487.824209215643</v>
      </c>
      <c r="E41" s="7">
        <f ca="1" t="shared" si="1"/>
        <v>699</v>
      </c>
      <c r="F41" s="7">
        <f ca="1" t="shared" si="2"/>
        <v>211.175790784357</v>
      </c>
      <c r="G41" s="7">
        <f ca="1" t="shared" si="3"/>
        <v>13403.1350505985</v>
      </c>
      <c r="I41" s="7"/>
      <c r="J41" s="7"/>
      <c r="K41" s="7"/>
      <c r="L41" s="7"/>
      <c r="M41" s="7"/>
      <c r="O41" s="7"/>
      <c r="P41" s="7"/>
    </row>
    <row r="42" spans="1:16">
      <c r="A42" s="15">
        <v>4</v>
      </c>
      <c r="B42" s="16">
        <f ca="1" t="shared" si="4"/>
        <v>45901</v>
      </c>
      <c r="C42" s="7">
        <f ca="1" t="shared" si="5"/>
        <v>13403.1350505985</v>
      </c>
      <c r="D42" s="7">
        <f ca="1" t="shared" si="0"/>
        <v>480.257416864191</v>
      </c>
      <c r="E42" s="7">
        <f ca="1" t="shared" si="1"/>
        <v>699</v>
      </c>
      <c r="F42" s="7">
        <f ca="1" t="shared" si="2"/>
        <v>218.742583135809</v>
      </c>
      <c r="G42" s="7">
        <f ca="1" t="shared" si="3"/>
        <v>13184.3924674627</v>
      </c>
      <c r="I42" s="7"/>
      <c r="J42" s="7"/>
      <c r="K42" s="7"/>
      <c r="L42" s="7"/>
      <c r="M42" s="7"/>
      <c r="O42" s="7"/>
      <c r="P42" s="7"/>
    </row>
    <row r="43" spans="1:16">
      <c r="A43" s="15">
        <v>5</v>
      </c>
      <c r="B43" s="16">
        <f ca="1" t="shared" si="4"/>
        <v>45931</v>
      </c>
      <c r="C43" s="7">
        <f ca="1" t="shared" si="5"/>
        <v>13184.3924674627</v>
      </c>
      <c r="D43" s="7">
        <f ca="1" t="shared" si="0"/>
        <v>472.419493308365</v>
      </c>
      <c r="E43" s="7">
        <f ca="1" t="shared" si="1"/>
        <v>699</v>
      </c>
      <c r="F43" s="7">
        <f ca="1" t="shared" si="2"/>
        <v>226.580506691635</v>
      </c>
      <c r="G43" s="7">
        <f ca="1" t="shared" si="3"/>
        <v>12957.8119607711</v>
      </c>
      <c r="I43" s="7"/>
      <c r="J43" s="7"/>
      <c r="K43" s="7"/>
      <c r="L43" s="7"/>
      <c r="M43" s="7"/>
      <c r="O43" s="7"/>
      <c r="P43" s="7"/>
    </row>
    <row r="44" spans="1:16">
      <c r="A44" s="15">
        <v>6</v>
      </c>
      <c r="B44" s="16">
        <f ca="1" t="shared" si="4"/>
        <v>45962</v>
      </c>
      <c r="C44" s="7">
        <f ca="1" t="shared" si="5"/>
        <v>12957.8119607711</v>
      </c>
      <c r="D44" s="7">
        <f ca="1" t="shared" si="0"/>
        <v>464.300723450066</v>
      </c>
      <c r="E44" s="7">
        <f ca="1" t="shared" si="1"/>
        <v>699</v>
      </c>
      <c r="F44" s="7">
        <f ca="1" t="shared" si="2"/>
        <v>234.699276549934</v>
      </c>
      <c r="G44" s="7">
        <f ca="1" t="shared" si="3"/>
        <v>12723.1126842211</v>
      </c>
      <c r="I44" s="7"/>
      <c r="J44" s="7"/>
      <c r="K44" s="7"/>
      <c r="L44" s="7"/>
      <c r="M44" s="7"/>
      <c r="O44" s="7"/>
      <c r="P44" s="7"/>
    </row>
    <row r="45" spans="1:16">
      <c r="A45" s="15">
        <v>7</v>
      </c>
      <c r="B45" s="16">
        <f ca="1" t="shared" si="4"/>
        <v>45992</v>
      </c>
      <c r="C45" s="7">
        <f ca="1" t="shared" si="5"/>
        <v>12723.1126842211</v>
      </c>
      <c r="D45" s="7">
        <f ca="1" t="shared" si="0"/>
        <v>455.891044082497</v>
      </c>
      <c r="E45" s="7">
        <f ca="1" t="shared" si="1"/>
        <v>699</v>
      </c>
      <c r="F45" s="7">
        <f ca="1" t="shared" si="2"/>
        <v>243.108955917503</v>
      </c>
      <c r="G45" s="7">
        <f ca="1" t="shared" si="3"/>
        <v>12480.0037283036</v>
      </c>
      <c r="I45" s="7"/>
      <c r="J45" s="7"/>
      <c r="K45" s="7"/>
      <c r="L45" s="7"/>
      <c r="M45" s="7"/>
      <c r="O45" s="7"/>
      <c r="P45" s="7"/>
    </row>
    <row r="46" spans="1:16">
      <c r="A46" s="15">
        <v>8</v>
      </c>
      <c r="B46" s="16">
        <f ca="1" t="shared" si="4"/>
        <v>46023</v>
      </c>
      <c r="C46" s="7">
        <f ca="1" t="shared" si="5"/>
        <v>12480.0037283036</v>
      </c>
      <c r="D46" s="7">
        <f ca="1" t="shared" si="0"/>
        <v>447.180031416824</v>
      </c>
      <c r="E46" s="7">
        <f ca="1" t="shared" si="1"/>
        <v>699</v>
      </c>
      <c r="F46" s="7">
        <f ca="1" t="shared" si="2"/>
        <v>251.819968583176</v>
      </c>
      <c r="G46" s="7">
        <f ca="1" t="shared" si="3"/>
        <v>12228.1837597205</v>
      </c>
      <c r="I46" s="7"/>
      <c r="J46" s="7"/>
      <c r="K46" s="7"/>
      <c r="L46" s="7"/>
      <c r="M46" s="7"/>
      <c r="O46" s="7"/>
      <c r="P46" s="7"/>
    </row>
    <row r="47" spans="1:16">
      <c r="A47" s="15">
        <v>9</v>
      </c>
      <c r="B47" s="16">
        <f ca="1" t="shared" si="4"/>
        <v>46054</v>
      </c>
      <c r="C47" s="7">
        <f ca="1" t="shared" si="5"/>
        <v>12228.1837597205</v>
      </c>
      <c r="D47" s="7">
        <f ca="1" t="shared" si="0"/>
        <v>438.156888161905</v>
      </c>
      <c r="E47" s="7">
        <f ca="1" t="shared" si="1"/>
        <v>699</v>
      </c>
      <c r="F47" s="7">
        <f ca="1" t="shared" si="2"/>
        <v>260.843111838095</v>
      </c>
      <c r="G47" s="7">
        <f ca="1" t="shared" si="3"/>
        <v>11967.3406478824</v>
      </c>
      <c r="I47" s="7"/>
      <c r="J47" s="7"/>
      <c r="K47" s="7"/>
      <c r="L47" s="7"/>
      <c r="M47" s="7"/>
      <c r="O47" s="7"/>
      <c r="P47" s="7"/>
    </row>
    <row r="48" spans="1:16">
      <c r="A48" s="15">
        <v>10</v>
      </c>
      <c r="B48" s="16">
        <f ca="1" t="shared" si="4"/>
        <v>46082</v>
      </c>
      <c r="C48" s="7">
        <f ca="1" t="shared" si="5"/>
        <v>11967.3406478824</v>
      </c>
      <c r="D48" s="7">
        <f ca="1" t="shared" si="0"/>
        <v>428.810430141056</v>
      </c>
      <c r="E48" s="7">
        <f ca="1" t="shared" si="1"/>
        <v>699</v>
      </c>
      <c r="F48" s="7">
        <f ca="1" t="shared" si="2"/>
        <v>270.189569858944</v>
      </c>
      <c r="G48" s="7">
        <f ca="1" t="shared" si="3"/>
        <v>11697.1510780234</v>
      </c>
      <c r="I48" s="7"/>
      <c r="J48" s="7"/>
      <c r="K48" s="7"/>
      <c r="L48" s="7"/>
      <c r="M48" s="7"/>
      <c r="O48" s="7"/>
      <c r="P48" s="7"/>
    </row>
    <row r="49" spans="1:16">
      <c r="A49" s="15">
        <v>11</v>
      </c>
      <c r="B49" s="16">
        <f ca="1" t="shared" si="4"/>
        <v>46113</v>
      </c>
      <c r="C49" s="7">
        <f ca="1" t="shared" si="5"/>
        <v>11697.1510780234</v>
      </c>
      <c r="D49" s="7">
        <f ca="1" t="shared" si="0"/>
        <v>419.129072429279</v>
      </c>
      <c r="E49" s="7">
        <f ca="1" t="shared" si="1"/>
        <v>699</v>
      </c>
      <c r="F49" s="7">
        <f ca="1" t="shared" si="2"/>
        <v>279.870927570721</v>
      </c>
      <c r="G49" s="7">
        <f ca="1" t="shared" si="3"/>
        <v>11417.2801504527</v>
      </c>
      <c r="I49" s="7"/>
      <c r="J49" s="7"/>
      <c r="K49" s="7"/>
      <c r="L49" s="7"/>
      <c r="M49" s="7"/>
      <c r="O49" s="7"/>
      <c r="P49" s="7"/>
    </row>
    <row r="50" spans="1:16">
      <c r="A50" s="15">
        <v>12</v>
      </c>
      <c r="B50" s="16">
        <f ca="1" t="shared" si="4"/>
        <v>46143</v>
      </c>
      <c r="C50" s="7">
        <f ca="1" t="shared" si="5"/>
        <v>11417.2801504527</v>
      </c>
      <c r="D50" s="7">
        <f ca="1" t="shared" si="0"/>
        <v>409.100814993755</v>
      </c>
      <c r="E50" s="7">
        <f ca="1" t="shared" si="1"/>
        <v>699</v>
      </c>
      <c r="F50" s="7">
        <f ca="1" t="shared" si="2"/>
        <v>289.899185006245</v>
      </c>
      <c r="G50" s="7">
        <f ca="1" t="shared" si="3"/>
        <v>11127.3809654464</v>
      </c>
      <c r="I50" s="7"/>
      <c r="J50" s="7"/>
      <c r="K50" s="7"/>
      <c r="L50" s="7"/>
      <c r="M50" s="7"/>
      <c r="O50" s="7"/>
      <c r="P50" s="7"/>
    </row>
    <row r="51" spans="1:16">
      <c r="A51" s="15">
        <v>13</v>
      </c>
      <c r="B51" s="16">
        <f ca="1" t="shared" si="4"/>
        <v>46174</v>
      </c>
      <c r="C51" s="7">
        <f ca="1" t="shared" si="5"/>
        <v>11127.3809654464</v>
      </c>
      <c r="D51" s="7">
        <f ca="1" t="shared" si="0"/>
        <v>398.713227819819</v>
      </c>
      <c r="E51" s="7">
        <f ca="1" t="shared" si="1"/>
        <v>699</v>
      </c>
      <c r="F51" s="7">
        <f ca="1" t="shared" si="2"/>
        <v>300.286772180181</v>
      </c>
      <c r="G51" s="7">
        <f ca="1" t="shared" si="3"/>
        <v>10827.0941932663</v>
      </c>
      <c r="I51" s="7"/>
      <c r="J51" s="7"/>
      <c r="K51" s="7"/>
      <c r="L51" s="7"/>
      <c r="M51" s="7"/>
      <c r="O51" s="7"/>
      <c r="P51" s="7"/>
    </row>
    <row r="52" spans="1:16">
      <c r="A52" s="15">
        <v>14</v>
      </c>
      <c r="B52" s="16">
        <f ca="1" t="shared" si="4"/>
        <v>46204</v>
      </c>
      <c r="C52" s="7">
        <f ca="1" t="shared" si="5"/>
        <v>10827.0941932663</v>
      </c>
      <c r="D52" s="7">
        <f ca="1" t="shared" si="0"/>
        <v>387.953435503968</v>
      </c>
      <c r="E52" s="7">
        <f ca="1" t="shared" si="1"/>
        <v>699</v>
      </c>
      <c r="F52" s="7">
        <f ca="1" t="shared" si="2"/>
        <v>311.046564496032</v>
      </c>
      <c r="G52" s="7">
        <f ca="1" t="shared" si="3"/>
        <v>10516.0476287702</v>
      </c>
      <c r="I52" s="7"/>
      <c r="J52" s="7"/>
      <c r="K52" s="7"/>
      <c r="L52" s="7"/>
      <c r="M52" s="7"/>
      <c r="O52" s="7"/>
      <c r="P52" s="7"/>
    </row>
    <row r="53" spans="1:16">
      <c r="A53" s="15">
        <v>15</v>
      </c>
      <c r="B53" s="16">
        <f ca="1" t="shared" si="4"/>
        <v>46235</v>
      </c>
      <c r="C53" s="7">
        <f ca="1" t="shared" si="5"/>
        <v>10516.0476287702</v>
      </c>
      <c r="D53" s="7">
        <f ca="1" t="shared" si="0"/>
        <v>376.808101294814</v>
      </c>
      <c r="E53" s="7">
        <f ca="1" t="shared" si="1"/>
        <v>699</v>
      </c>
      <c r="F53" s="7">
        <f ca="1" t="shared" si="2"/>
        <v>322.191898705186</v>
      </c>
      <c r="G53" s="7">
        <f ca="1" t="shared" si="3"/>
        <v>10193.855730065</v>
      </c>
      <c r="I53" s="7"/>
      <c r="J53" s="7"/>
      <c r="K53" s="7"/>
      <c r="L53" s="7"/>
      <c r="M53" s="7"/>
      <c r="O53" s="7"/>
      <c r="P53" s="7"/>
    </row>
    <row r="54" spans="1:16">
      <c r="A54" s="15">
        <v>16</v>
      </c>
      <c r="B54" s="16">
        <f ca="1" t="shared" si="4"/>
        <v>46266</v>
      </c>
      <c r="C54" s="7">
        <f ca="1" t="shared" si="5"/>
        <v>10193.855730065</v>
      </c>
      <c r="D54" s="7">
        <f ca="1" t="shared" si="0"/>
        <v>365.263410562192</v>
      </c>
      <c r="E54" s="7">
        <f ca="1" t="shared" si="1"/>
        <v>699</v>
      </c>
      <c r="F54" s="7">
        <f ca="1" t="shared" si="2"/>
        <v>333.736589437808</v>
      </c>
      <c r="G54" s="7">
        <f ca="1" t="shared" si="3"/>
        <v>9860.11914062724</v>
      </c>
      <c r="I54" s="7"/>
      <c r="J54" s="7"/>
      <c r="K54" s="7"/>
      <c r="L54" s="7"/>
      <c r="M54" s="7"/>
      <c r="O54" s="7"/>
      <c r="P54" s="7"/>
    </row>
    <row r="55" spans="1:16">
      <c r="A55" s="15">
        <v>17</v>
      </c>
      <c r="B55" s="16">
        <f ca="1" t="shared" si="4"/>
        <v>46296</v>
      </c>
      <c r="C55" s="7">
        <f ca="1" t="shared" si="5"/>
        <v>9860.11914062724</v>
      </c>
      <c r="D55" s="7">
        <f ca="1" t="shared" si="0"/>
        <v>353.305053673942</v>
      </c>
      <c r="E55" s="7">
        <f ca="1" t="shared" si="1"/>
        <v>699</v>
      </c>
      <c r="F55" s="7">
        <f ca="1" t="shared" si="2"/>
        <v>345.694946326058</v>
      </c>
      <c r="G55" s="7">
        <f ca="1" t="shared" si="3"/>
        <v>9514.42419430118</v>
      </c>
      <c r="I55" s="7"/>
      <c r="J55" s="7"/>
      <c r="K55" s="7"/>
      <c r="L55" s="7"/>
      <c r="M55" s="7"/>
      <c r="O55" s="7"/>
      <c r="P55" s="7"/>
    </row>
    <row r="56" spans="1:16">
      <c r="A56" s="15">
        <v>18</v>
      </c>
      <c r="B56" s="16">
        <f ca="1" t="shared" si="4"/>
        <v>46327</v>
      </c>
      <c r="C56" s="7">
        <f ca="1" t="shared" si="5"/>
        <v>9514.42419430118</v>
      </c>
      <c r="D56" s="7">
        <f ca="1" t="shared" si="0"/>
        <v>340.918208259135</v>
      </c>
      <c r="E56" s="7">
        <f ca="1" t="shared" si="1"/>
        <v>699</v>
      </c>
      <c r="F56" s="7">
        <f ca="1" t="shared" si="2"/>
        <v>358.081791740865</v>
      </c>
      <c r="G56" s="7">
        <f ca="1" t="shared" si="3"/>
        <v>9156.34240256032</v>
      </c>
      <c r="I56" s="7"/>
      <c r="J56" s="7"/>
      <c r="K56" s="7"/>
      <c r="L56" s="7"/>
      <c r="M56" s="7"/>
      <c r="O56" s="7"/>
      <c r="P56" s="7"/>
    </row>
    <row r="57" spans="1:16">
      <c r="A57" s="15">
        <v>19</v>
      </c>
      <c r="B57" s="16">
        <f ca="1" t="shared" si="4"/>
        <v>46357</v>
      </c>
      <c r="C57" s="7">
        <f ca="1" t="shared" si="5"/>
        <v>9156.34240256032</v>
      </c>
      <c r="D57" s="7">
        <f ca="1" t="shared" si="0"/>
        <v>328.087520835755</v>
      </c>
      <c r="E57" s="7">
        <f ca="1" t="shared" si="1"/>
        <v>699</v>
      </c>
      <c r="F57" s="7">
        <f ca="1" t="shared" si="2"/>
        <v>370.912479164245</v>
      </c>
      <c r="G57" s="7">
        <f ca="1" t="shared" si="3"/>
        <v>8785.42992339607</v>
      </c>
      <c r="I57" s="7"/>
      <c r="J57" s="7"/>
      <c r="K57" s="7"/>
      <c r="L57" s="7"/>
      <c r="M57" s="7"/>
      <c r="O57" s="7"/>
      <c r="P57" s="7"/>
    </row>
    <row r="58" spans="1:16">
      <c r="A58" s="15">
        <v>20</v>
      </c>
      <c r="B58" s="16">
        <f ca="1" t="shared" si="4"/>
        <v>46388</v>
      </c>
      <c r="C58" s="7">
        <f ca="1" t="shared" si="5"/>
        <v>8785.42992339607</v>
      </c>
      <c r="D58" s="7">
        <f ca="1" t="shared" si="0"/>
        <v>314.797087780083</v>
      </c>
      <c r="E58" s="7">
        <f ca="1" t="shared" si="1"/>
        <v>699</v>
      </c>
      <c r="F58" s="7">
        <f ca="1" t="shared" si="2"/>
        <v>384.202912219917</v>
      </c>
      <c r="G58" s="7">
        <f ca="1" t="shared" si="3"/>
        <v>8401.22701117616</v>
      </c>
      <c r="I58" s="7"/>
      <c r="J58" s="7"/>
      <c r="K58" s="7"/>
      <c r="L58" s="7"/>
      <c r="M58" s="7"/>
      <c r="O58" s="7"/>
      <c r="P58" s="7"/>
    </row>
    <row r="59" spans="1:16">
      <c r="A59" s="15">
        <v>21</v>
      </c>
      <c r="B59" s="16">
        <f ca="1" t="shared" si="4"/>
        <v>46419</v>
      </c>
      <c r="C59" s="7">
        <f ca="1" t="shared" si="5"/>
        <v>8401.22701117616</v>
      </c>
      <c r="D59" s="7">
        <f ca="1" t="shared" si="0"/>
        <v>301.030435614163</v>
      </c>
      <c r="E59" s="7">
        <f ca="1" t="shared" si="1"/>
        <v>699</v>
      </c>
      <c r="F59" s="7">
        <f ca="1" t="shared" si="2"/>
        <v>397.969564385837</v>
      </c>
      <c r="G59" s="7">
        <f ca="1" t="shared" si="3"/>
        <v>8003.25744679032</v>
      </c>
      <c r="I59" s="7"/>
      <c r="J59" s="7"/>
      <c r="K59" s="7"/>
      <c r="L59" s="7"/>
      <c r="M59" s="7"/>
      <c r="O59" s="7"/>
      <c r="P59" s="7"/>
    </row>
    <row r="60" spans="1:16">
      <c r="A60" s="15">
        <v>22</v>
      </c>
      <c r="B60" s="16">
        <f ca="1" t="shared" si="4"/>
        <v>46447</v>
      </c>
      <c r="C60" s="7">
        <f ca="1" t="shared" si="5"/>
        <v>8003.25744679032</v>
      </c>
      <c r="D60" s="7">
        <f ca="1" t="shared" si="0"/>
        <v>286.770500586949</v>
      </c>
      <c r="E60" s="7">
        <f ca="1" t="shared" si="1"/>
        <v>699</v>
      </c>
      <c r="F60" s="7">
        <f ca="1" t="shared" si="2"/>
        <v>412.229499413051</v>
      </c>
      <c r="G60" s="7">
        <f ca="1" t="shared" si="3"/>
        <v>7591.02794737727</v>
      </c>
      <c r="I60" s="7"/>
      <c r="J60" s="7"/>
      <c r="K60" s="7"/>
      <c r="L60" s="7"/>
      <c r="M60" s="7"/>
      <c r="O60" s="7"/>
      <c r="P60" s="7"/>
    </row>
    <row r="61" spans="1:16">
      <c r="A61" s="15">
        <v>23</v>
      </c>
      <c r="B61" s="16">
        <f ca="1" t="shared" si="4"/>
        <v>46478</v>
      </c>
      <c r="C61" s="7">
        <f ca="1" t="shared" si="5"/>
        <v>7591.02794737727</v>
      </c>
      <c r="D61" s="7">
        <f ca="1" t="shared" si="0"/>
        <v>271.999607523801</v>
      </c>
      <c r="E61" s="7">
        <f ca="1" t="shared" si="1"/>
        <v>699</v>
      </c>
      <c r="F61" s="7">
        <f ca="1" t="shared" si="2"/>
        <v>427.000392476199</v>
      </c>
      <c r="G61" s="7">
        <f ca="1" t="shared" si="3"/>
        <v>7164.02755490107</v>
      </c>
      <c r="I61" s="7"/>
      <c r="J61" s="7"/>
      <c r="K61" s="7"/>
      <c r="L61" s="7"/>
      <c r="M61" s="7"/>
      <c r="O61" s="7"/>
      <c r="P61" s="7"/>
    </row>
    <row r="62" spans="1:16">
      <c r="A62" s="15">
        <v>24</v>
      </c>
      <c r="B62" s="16">
        <f ca="1" t="shared" si="4"/>
        <v>46508</v>
      </c>
      <c r="C62" s="7">
        <f ca="1" t="shared" si="5"/>
        <v>7164.02755490107</v>
      </c>
      <c r="D62" s="7">
        <f ca="1" t="shared" si="0"/>
        <v>256.699447918123</v>
      </c>
      <c r="E62" s="7">
        <f ca="1" t="shared" si="1"/>
        <v>699</v>
      </c>
      <c r="F62" s="7">
        <f ca="1" t="shared" si="2"/>
        <v>442.300552081877</v>
      </c>
      <c r="G62" s="7">
        <f ca="1" t="shared" si="3"/>
        <v>6721.72700281919</v>
      </c>
      <c r="I62" s="7"/>
      <c r="J62" s="7"/>
      <c r="K62" s="7"/>
      <c r="L62" s="7"/>
      <c r="M62" s="7"/>
      <c r="O62" s="7"/>
      <c r="P62" s="7"/>
    </row>
    <row r="63" spans="1:16">
      <c r="A63" s="15">
        <v>25</v>
      </c>
      <c r="B63" s="16">
        <f ca="1" t="shared" si="4"/>
        <v>46539</v>
      </c>
      <c r="C63" s="7">
        <f ca="1" t="shared" si="5"/>
        <v>6721.72700281919</v>
      </c>
      <c r="D63" s="7">
        <f ca="1" t="shared" si="0"/>
        <v>240.851057237991</v>
      </c>
      <c r="E63" s="7">
        <f ca="1" t="shared" si="1"/>
        <v>699</v>
      </c>
      <c r="F63" s="7">
        <f ca="1" t="shared" si="2"/>
        <v>458.148942762009</v>
      </c>
      <c r="G63" s="7">
        <f ca="1" t="shared" si="3"/>
        <v>6263.57806005718</v>
      </c>
      <c r="I63" s="7"/>
      <c r="J63" s="7"/>
      <c r="K63" s="7"/>
      <c r="L63" s="7"/>
      <c r="M63" s="7"/>
      <c r="O63" s="7"/>
      <c r="P63" s="7"/>
    </row>
    <row r="64" spans="1:16">
      <c r="A64" s="15">
        <v>26</v>
      </c>
      <c r="B64" s="16">
        <f ca="1" t="shared" si="4"/>
        <v>46569</v>
      </c>
      <c r="C64" s="7">
        <f ca="1" t="shared" si="5"/>
        <v>6263.57806005718</v>
      </c>
      <c r="D64" s="7">
        <f ca="1" t="shared" si="0"/>
        <v>224.434791419636</v>
      </c>
      <c r="E64" s="7">
        <f ca="1" t="shared" si="1"/>
        <v>699</v>
      </c>
      <c r="F64" s="7">
        <f ca="1" t="shared" si="2"/>
        <v>474.565208580364</v>
      </c>
      <c r="G64" s="7">
        <f ca="1" t="shared" si="3"/>
        <v>5789.01285147682</v>
      </c>
      <c r="I64" s="7"/>
      <c r="J64" s="7"/>
      <c r="K64" s="7"/>
      <c r="L64" s="7"/>
      <c r="M64" s="7"/>
      <c r="O64" s="7"/>
      <c r="P64" s="7"/>
    </row>
    <row r="65" spans="1:16">
      <c r="A65" s="15">
        <v>27</v>
      </c>
      <c r="B65" s="16">
        <f ca="1" t="shared" si="4"/>
        <v>46600</v>
      </c>
      <c r="C65" s="7">
        <f ca="1" t="shared" si="5"/>
        <v>5789.01285147682</v>
      </c>
      <c r="D65" s="7">
        <f ca="1" t="shared" si="0"/>
        <v>207.430302518642</v>
      </c>
      <c r="E65" s="7">
        <f ca="1" t="shared" si="1"/>
        <v>699</v>
      </c>
      <c r="F65" s="7">
        <f ca="1" t="shared" si="2"/>
        <v>491.569697481358</v>
      </c>
      <c r="G65" s="7">
        <f ca="1" t="shared" si="3"/>
        <v>5297.44315399546</v>
      </c>
      <c r="I65" s="7"/>
      <c r="J65" s="7"/>
      <c r="K65" s="7"/>
      <c r="L65" s="7"/>
      <c r="M65" s="7"/>
      <c r="O65" s="7"/>
      <c r="P65" s="7"/>
    </row>
    <row r="66" spans="1:16">
      <c r="A66" s="15">
        <v>28</v>
      </c>
      <c r="B66" s="16">
        <f ca="1" t="shared" si="4"/>
        <v>46631</v>
      </c>
      <c r="C66" s="7">
        <f ca="1" t="shared" si="5"/>
        <v>5297.44315399546</v>
      </c>
      <c r="D66" s="7">
        <f ca="1" t="shared" si="0"/>
        <v>189.816513488697</v>
      </c>
      <c r="E66" s="7">
        <f ca="1" t="shared" si="1"/>
        <v>699</v>
      </c>
      <c r="F66" s="7">
        <f ca="1" t="shared" si="2"/>
        <v>509.183486511303</v>
      </c>
      <c r="G66" s="7">
        <f ca="1" t="shared" si="3"/>
        <v>4788.25966748416</v>
      </c>
      <c r="I66" s="7"/>
      <c r="J66" s="7"/>
      <c r="K66" s="7"/>
      <c r="L66" s="7"/>
      <c r="M66" s="7"/>
      <c r="O66" s="7"/>
      <c r="P66" s="7"/>
    </row>
    <row r="67" spans="1:16">
      <c r="A67" s="15">
        <v>29</v>
      </c>
      <c r="B67" s="16">
        <f ca="1" t="shared" si="4"/>
        <v>46661</v>
      </c>
      <c r="C67" s="7">
        <f ca="1" t="shared" si="5"/>
        <v>4788.25966748416</v>
      </c>
      <c r="D67" s="7">
        <f ca="1" t="shared" si="0"/>
        <v>171.57159205661</v>
      </c>
      <c r="E67" s="7">
        <f ca="1" t="shared" si="1"/>
        <v>699</v>
      </c>
      <c r="F67" s="7">
        <f ca="1" t="shared" si="2"/>
        <v>527.428407943391</v>
      </c>
      <c r="G67" s="7">
        <f ca="1" t="shared" si="3"/>
        <v>4260.83125954077</v>
      </c>
      <c r="I67" s="7"/>
      <c r="J67" s="7"/>
      <c r="K67" s="7"/>
      <c r="L67" s="7"/>
      <c r="M67" s="7"/>
      <c r="O67" s="7"/>
      <c r="P67" s="7"/>
    </row>
    <row r="68" spans="1:16">
      <c r="A68" s="15">
        <v>30</v>
      </c>
      <c r="B68" s="16">
        <f ca="1" t="shared" si="4"/>
        <v>46692</v>
      </c>
      <c r="C68" s="7">
        <f ca="1" t="shared" si="5"/>
        <v>4260.83125954077</v>
      </c>
      <c r="D68" s="7">
        <f ca="1" t="shared" si="0"/>
        <v>152.672923661235</v>
      </c>
      <c r="E68" s="7">
        <f ca="1" t="shared" si="1"/>
        <v>699</v>
      </c>
      <c r="F68" s="7">
        <f ca="1" t="shared" si="2"/>
        <v>546.327076338765</v>
      </c>
      <c r="G68" s="7">
        <f ca="1" t="shared" si="3"/>
        <v>3714.504183202</v>
      </c>
      <c r="I68" s="7"/>
      <c r="J68" s="7"/>
      <c r="K68" s="7"/>
      <c r="L68" s="7"/>
      <c r="M68" s="7"/>
      <c r="O68" s="7"/>
      <c r="P68" s="7"/>
    </row>
    <row r="69" spans="1:16">
      <c r="A69" s="15">
        <v>31</v>
      </c>
      <c r="B69" s="16">
        <f ca="1" t="shared" si="4"/>
        <v>46722</v>
      </c>
      <c r="C69" s="7">
        <f ca="1" t="shared" si="5"/>
        <v>3714.504183202</v>
      </c>
      <c r="D69" s="7">
        <f ca="1" t="shared" si="0"/>
        <v>133.097083422745</v>
      </c>
      <c r="E69" s="7">
        <f ca="1" t="shared" si="1"/>
        <v>699</v>
      </c>
      <c r="F69" s="7">
        <f ca="1" t="shared" si="2"/>
        <v>565.902916577255</v>
      </c>
      <c r="G69" s="7">
        <f ca="1" t="shared" si="3"/>
        <v>3148.60126662475</v>
      </c>
      <c r="I69" s="7"/>
      <c r="J69" s="7"/>
      <c r="K69" s="7"/>
      <c r="L69" s="7"/>
      <c r="M69" s="7"/>
      <c r="O69" s="7"/>
      <c r="P69" s="7"/>
    </row>
    <row r="70" spans="1:16">
      <c r="A70" s="15">
        <v>32</v>
      </c>
      <c r="B70" s="16">
        <f ca="1" t="shared" si="4"/>
        <v>46753</v>
      </c>
      <c r="C70" s="7">
        <f ca="1" t="shared" si="5"/>
        <v>3148.60126662475</v>
      </c>
      <c r="D70" s="7">
        <f ca="1" t="shared" si="0"/>
        <v>112.819807107517</v>
      </c>
      <c r="E70" s="7">
        <f ca="1" t="shared" si="1"/>
        <v>699</v>
      </c>
      <c r="F70" s="7">
        <f ca="1" t="shared" si="2"/>
        <v>586.180192892483</v>
      </c>
      <c r="G70" s="7">
        <f ca="1" t="shared" si="3"/>
        <v>2562.42107373226</v>
      </c>
      <c r="I70" s="7"/>
      <c r="J70" s="7"/>
      <c r="K70" s="7"/>
      <c r="L70" s="7"/>
      <c r="M70" s="7"/>
      <c r="O70" s="7"/>
      <c r="P70" s="7"/>
    </row>
    <row r="71" spans="1:16">
      <c r="A71" s="15">
        <v>33</v>
      </c>
      <c r="B71" s="16">
        <f ca="1" t="shared" si="4"/>
        <v>46784</v>
      </c>
      <c r="C71" s="7">
        <f ca="1" t="shared" si="5"/>
        <v>2562.42107373226</v>
      </c>
      <c r="D71" s="7">
        <f ca="1" t="shared" si="0"/>
        <v>91.8159610526397</v>
      </c>
      <c r="E71" s="7">
        <f ca="1" t="shared" si="1"/>
        <v>699</v>
      </c>
      <c r="F71" s="7">
        <f ca="1" t="shared" si="2"/>
        <v>607.18403894736</v>
      </c>
      <c r="G71" s="7">
        <f ca="1" t="shared" si="3"/>
        <v>1955.2370347849</v>
      </c>
      <c r="I71" s="7"/>
      <c r="J71" s="7"/>
      <c r="K71" s="7"/>
      <c r="L71" s="7"/>
      <c r="M71" s="7"/>
      <c r="O71" s="7"/>
      <c r="P71" s="7"/>
    </row>
    <row r="72" spans="1:16">
      <c r="A72" s="15">
        <v>34</v>
      </c>
      <c r="B72" s="16">
        <f ca="1" t="shared" si="4"/>
        <v>46813</v>
      </c>
      <c r="C72" s="7">
        <f ca="1" t="shared" si="5"/>
        <v>1955.2370347849</v>
      </c>
      <c r="D72" s="7">
        <f ca="1" t="shared" si="0"/>
        <v>70.0595110127661</v>
      </c>
      <c r="E72" s="7">
        <f ca="1" t="shared" si="1"/>
        <v>699</v>
      </c>
      <c r="F72" s="7">
        <f ca="1" t="shared" si="2"/>
        <v>628.940488987234</v>
      </c>
      <c r="G72" s="7">
        <f ca="1" t="shared" si="3"/>
        <v>1326.29654579767</v>
      </c>
      <c r="I72" s="7"/>
      <c r="J72" s="7"/>
      <c r="K72" s="7"/>
      <c r="L72" s="7"/>
      <c r="M72" s="7"/>
      <c r="O72" s="7"/>
      <c r="P72" s="7"/>
    </row>
    <row r="73" spans="1:16">
      <c r="A73" s="15">
        <v>35</v>
      </c>
      <c r="B73" s="16">
        <f ca="1" t="shared" si="4"/>
        <v>46844</v>
      </c>
      <c r="C73" s="7">
        <f ca="1" t="shared" si="5"/>
        <v>1326.29654579767</v>
      </c>
      <c r="D73" s="7">
        <f ca="1" t="shared" si="0"/>
        <v>47.5234898906912</v>
      </c>
      <c r="E73" s="7">
        <f ca="1" t="shared" si="1"/>
        <v>699</v>
      </c>
      <c r="F73" s="7">
        <f ca="1" t="shared" si="2"/>
        <v>651.476510109309</v>
      </c>
      <c r="G73" s="7">
        <f ca="1" t="shared" si="3"/>
        <v>674.820035688359</v>
      </c>
      <c r="I73" s="7"/>
      <c r="J73" s="7"/>
      <c r="K73" s="7"/>
      <c r="L73" s="7"/>
      <c r="M73" s="7"/>
      <c r="O73" s="7"/>
      <c r="P73" s="7"/>
    </row>
    <row r="74" spans="1:16">
      <c r="A74" s="15">
        <v>36</v>
      </c>
      <c r="B74" s="16">
        <f ca="1" t="shared" si="4"/>
        <v>46874</v>
      </c>
      <c r="C74" s="7">
        <f ca="1" t="shared" si="5"/>
        <v>674.820035688359</v>
      </c>
      <c r="D74" s="7">
        <f ca="1" t="shared" si="0"/>
        <v>24.1799643116646</v>
      </c>
      <c r="E74" s="7">
        <f ca="1" t="shared" si="1"/>
        <v>699</v>
      </c>
      <c r="F74" s="7">
        <f ca="1" t="shared" si="2"/>
        <v>674.820035688335</v>
      </c>
      <c r="G74" s="7">
        <f ca="1" t="shared" si="3"/>
        <v>2.34194885706529e-11</v>
      </c>
      <c r="I74" s="7"/>
      <c r="J74" s="7"/>
      <c r="K74" s="7"/>
      <c r="L74" s="7"/>
      <c r="M74" s="7"/>
      <c r="O74" s="7"/>
      <c r="P74" s="7"/>
    </row>
    <row r="75" spans="1:16">
      <c r="A75" s="15"/>
      <c r="B75" s="16"/>
      <c r="C75" s="7"/>
      <c r="D75" s="7"/>
      <c r="E75" s="7"/>
      <c r="F75" s="7"/>
      <c r="G75" s="7"/>
      <c r="I75" s="7"/>
      <c r="J75" s="7"/>
      <c r="K75" s="7"/>
    </row>
    <row r="76" spans="1:16">
      <c r="A76" s="2" t="s">
        <v>146</v>
      </c>
      <c r="B76" s="16"/>
      <c r="D76" s="2" t="s">
        <v>147</v>
      </c>
      <c r="E76" s="7">
        <f ca="1">SUM(D39:D74)</f>
        <v>11149</v>
      </c>
      <c r="J76" s="2"/>
      <c r="K76" s="7"/>
    </row>
    <row r="77" spans="1:16">
      <c r="D77" s="2" t="s">
        <v>148</v>
      </c>
      <c r="E77" s="7">
        <f ca="1">SUM(E39:E74)</f>
        <v>25164</v>
      </c>
      <c r="J77" s="2"/>
      <c r="K77" s="7"/>
    </row>
  </sheetData>
  <mergeCells count="1">
    <mergeCell ref="A1:F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Z77"/>
  <sheetViews>
    <sheetView workbookViewId="0">
      <selection activeCell="I23" sqref="I23"/>
    </sheetView>
  </sheetViews>
  <sheetFormatPr defaultColWidth="9" defaultRowHeight="14.4"/>
  <cols>
    <col min="1" max="7" width="14.1666666666667" style="1" customWidth="1"/>
    <col min="8" max="8" width="4.66666666666667" style="1" customWidth="1"/>
    <col min="9" max="13" width="14.1666666666667" style="1" customWidth="1"/>
    <col min="14" max="14" width="4.66666666666667" style="1" customWidth="1"/>
    <col min="15" max="18" width="14.1666666666667" style="1" customWidth="1"/>
    <col min="19" max="20" width="9" style="1" customWidth="1"/>
    <col min="21" max="16384" width="9" style="1"/>
  </cols>
  <sheetData>
    <row r="1" ht="18.75" customHeight="1" spans="1:26">
      <c r="A1" s="2" t="str">
        <f ca="1">IFERROR(INDEX('List of customer'!D:D,MATCH($S$1,'List of customer'!$B:$B,0)),"")</f>
        <v>Craven F&amp;B </v>
      </c>
      <c r="K1" s="2" t="s">
        <v>87</v>
      </c>
      <c r="L1" s="3">
        <v>46022</v>
      </c>
      <c r="S1" s="4" t="str">
        <f ca="1" t="array" ref="S1">MID(CELL("filename",A1),FIND("]",CELL("filename",A1))+1,255)</f>
        <v>SO25-0135</v>
      </c>
      <c r="Z1" t="s">
        <v>75</v>
      </c>
    </row>
    <row r="2" spans="1:26">
      <c r="E2" s="5" t="s">
        <v>149</v>
      </c>
      <c r="F2" s="6"/>
      <c r="I2" s="7">
        <f ca="1">SUM(I3:I18)</f>
        <v>0</v>
      </c>
      <c r="K2" s="2" t="s">
        <v>89</v>
      </c>
      <c r="L2" s="8">
        <v>45658</v>
      </c>
    </row>
    <row r="3" spans="1:26">
      <c r="A3" s="2" t="s">
        <v>90</v>
      </c>
      <c r="B3" s="2"/>
      <c r="C3" s="1" t="str">
        <f ca="1">IFERROR(INDEX('List of customer'!C:C,MATCH($S$1,'List of customer'!$B:$B,0)),"")</f>
        <v>Rent-to-own ice machine</v>
      </c>
      <c r="E3" s="2" t="s">
        <v>91</v>
      </c>
    </row>
    <row r="4" spans="1:26">
      <c r="A4" s="1" t="s">
        <v>92</v>
      </c>
      <c r="C4" s="7">
        <f ca="1">IFERROR(INDEX('List of customer'!N:N,MATCH($S$1,'List of customer'!$B:$B,0)),"")</f>
        <v>13451.6988</v>
      </c>
      <c r="E4" s="1" t="s">
        <v>93</v>
      </c>
      <c r="I4" s="7">
        <f ca="1">$C$39</f>
        <v>13279.2347959969</v>
      </c>
      <c r="J4" s="9" t="s">
        <v>94</v>
      </c>
    </row>
    <row r="5" spans="1:26">
      <c r="A5" s="1" t="s">
        <v>95</v>
      </c>
      <c r="C5" s="10" t="str">
        <f ca="1">LEFT(IFERROR(INDEX('List of customer'!G:G,MATCH($S$1,'List of customer'!$B:$B,0)),""),2)</f>
        <v>24</v>
      </c>
      <c r="E5" s="11" t="s">
        <v>96</v>
      </c>
      <c r="I5" s="7">
        <f ca="1">-C25</f>
        <v>-10300.5201672478</v>
      </c>
      <c r="J5" s="9" t="s">
        <v>97</v>
      </c>
    </row>
    <row r="6" spans="1:26">
      <c r="A6" s="1" t="s">
        <v>48</v>
      </c>
      <c r="C6" s="12">
        <f ca="1">IFERROR(INDEX('List of customer'!E:E,MATCH($S$1,'List of customer'!$B:$B,0)),"")</f>
        <v>45962</v>
      </c>
      <c r="E6" s="11" t="s">
        <v>98</v>
      </c>
      <c r="I6" s="7">
        <f ca="1">-C26</f>
        <v>-2978.71462874911</v>
      </c>
      <c r="J6" s="9" t="s">
        <v>99</v>
      </c>
    </row>
    <row r="7" spans="1:26">
      <c r="A7" s="1" t="s">
        <v>49</v>
      </c>
      <c r="C7" s="12">
        <f ca="1">IFERROR(INDEX('List of customer'!F:F,MATCH($S$1,'List of customer'!$B:$B,0)),"")</f>
        <v>46691</v>
      </c>
      <c r="J7" s="9"/>
    </row>
    <row r="8" spans="1:26">
      <c r="A8" s="1" t="s">
        <v>100</v>
      </c>
      <c r="C8" s="7">
        <f ca="1">IFERROR(INDEX('List of customer'!J:J,MATCH($S$1,'List of customer'!$B:$B,0)),"")</f>
        <v>850</v>
      </c>
      <c r="E8" s="1" t="s">
        <v>101</v>
      </c>
      <c r="I8" s="7">
        <f ca="1">C32</f>
        <v>13451.6988</v>
      </c>
      <c r="J8" s="9"/>
    </row>
    <row r="9" spans="1:26">
      <c r="A9" s="1" t="s">
        <v>102</v>
      </c>
      <c r="C9" s="7">
        <f ca="1">C17</f>
        <v>13279.2347959969</v>
      </c>
      <c r="E9" s="11" t="s">
        <v>103</v>
      </c>
      <c r="I9" s="7">
        <f ca="1">-I8</f>
        <v>-13451.6988</v>
      </c>
      <c r="J9" s="9" t="s">
        <v>104</v>
      </c>
    </row>
    <row r="10" spans="1:26">
      <c r="C10" s="13"/>
      <c r="J10" s="9"/>
    </row>
    <row r="11" spans="1:26">
      <c r="A11" s="1" t="s">
        <v>105</v>
      </c>
      <c r="C11" s="10" t="str">
        <f ca="1">IF(C9=0,"No","Yes")</f>
        <v>Yes</v>
      </c>
      <c r="E11" s="2" t="s">
        <v>106</v>
      </c>
      <c r="I11" s="7"/>
      <c r="J11" s="9"/>
    </row>
    <row r="12" spans="1:26">
      <c r="E12" s="1" t="s">
        <v>107</v>
      </c>
      <c r="I12" s="7">
        <f ca="1">-I6/$C$5*COUNTIFS($B$39:$B$74,"&lt;="&amp;$L$1,$E$39:$E$74,"&gt;"&amp;0,$B$39:$B$74,"&gt;="&amp;$L$2)</f>
        <v>248.226219062426</v>
      </c>
      <c r="J12" s="9" t="s">
        <v>108</v>
      </c>
    </row>
    <row r="13" spans="1:26">
      <c r="A13" s="2" t="s">
        <v>109</v>
      </c>
      <c r="E13" s="11" t="s">
        <v>110</v>
      </c>
      <c r="I13" s="7">
        <f ca="1">-I12</f>
        <v>-248.226219062426</v>
      </c>
      <c r="J13" s="9"/>
    </row>
    <row r="14" spans="1:26">
      <c r="A14" s="1" t="s">
        <v>111</v>
      </c>
      <c r="C14" s="7">
        <f ca="1">IFERROR(INDEX('List of customer'!P:P,MATCH($S$1,'List of customer'!$B:$B,0)),"")</f>
        <v>17855.2347959969</v>
      </c>
      <c r="J14" s="9"/>
    </row>
    <row r="15" spans="1:26">
      <c r="A15" s="1" t="s">
        <v>112</v>
      </c>
      <c r="C15" s="7">
        <f ca="1">IFERROR(INDEX('List of customer'!Q:Q,MATCH($S$1,'List of customer'!$B:$B,0)),"")</f>
        <v>2288</v>
      </c>
      <c r="E15" s="4" t="s">
        <v>113</v>
      </c>
      <c r="F15" s="4"/>
      <c r="G15" s="4"/>
      <c r="I15" s="7">
        <f ca="1">SUMIFS($E$39:$E$74,$B$39:$B$74,"&lt;="&amp;$L$1,$B$39:$B$74,"&gt;="&amp;$L$2)</f>
        <v>1700</v>
      </c>
      <c r="J15" s="9" t="s">
        <v>114</v>
      </c>
    </row>
    <row r="16" spans="1:26">
      <c r="A16" s="1" t="s">
        <v>115</v>
      </c>
      <c r="C16" s="10" t="str">
        <f ca="1">LEFT(IFERROR(INDEX('List of customer'!S:S,MATCH($S$1,'List of customer'!$B:$B,0)),""),1)</f>
        <v>2</v>
      </c>
      <c r="E16" s="11" t="s">
        <v>116</v>
      </c>
      <c r="G16" s="4"/>
      <c r="I16" s="7">
        <f ca="1">-SUMIFS($F$39:$F$74,$B$39:$B$74,"&lt;="&amp;$L$1,$B$39:$B$74,"&gt;="&amp;$L$2)</f>
        <v>-713.60092569751</v>
      </c>
      <c r="J16" s="9" t="s">
        <v>117</v>
      </c>
    </row>
    <row r="17" spans="1:10">
      <c r="A17" s="1" t="s">
        <v>118</v>
      </c>
      <c r="C17" s="7">
        <f ca="1">C14-C15*C16</f>
        <v>13279.2347959969</v>
      </c>
      <c r="E17" s="11" t="s">
        <v>119</v>
      </c>
      <c r="G17" s="4"/>
      <c r="I17" s="7">
        <f ca="1">-SUMIFS($D$39:$D$74,$B$39:$B$74,"&lt;="&amp;$L$1,$B$39:$B$74,"&gt;="&amp;$L$2)</f>
        <v>-986.39907430249</v>
      </c>
      <c r="J17" s="9" t="s">
        <v>120</v>
      </c>
    </row>
    <row r="18" spans="1:10">
      <c r="E18" s="11"/>
      <c r="I18" s="7"/>
      <c r="J18" s="9"/>
    </row>
    <row r="19" spans="1:10">
      <c r="A19" s="2" t="s">
        <v>121</v>
      </c>
      <c r="I19" s="7"/>
      <c r="J19" s="9"/>
    </row>
    <row r="20" spans="1:10">
      <c r="A20" s="1" t="s">
        <v>122</v>
      </c>
      <c r="C20" s="7">
        <f ca="1">C5*C8</f>
        <v>20400</v>
      </c>
      <c r="J20" s="9"/>
    </row>
    <row r="21" spans="1:10">
      <c r="A21" s="1" t="s">
        <v>123</v>
      </c>
      <c r="C21" s="7">
        <f ca="1">C15*C16</f>
        <v>4576</v>
      </c>
      <c r="D21" s="9" t="s">
        <v>124</v>
      </c>
      <c r="J21" s="9"/>
    </row>
    <row r="22" spans="1:10">
      <c r="A22" s="1" t="s">
        <v>125</v>
      </c>
      <c r="C22" s="7">
        <f ca="1">C20-C21</f>
        <v>15824</v>
      </c>
      <c r="J22" s="9"/>
    </row>
    <row r="23" spans="1:10">
      <c r="E23" s="2"/>
      <c r="I23" s="7"/>
      <c r="J23" s="9"/>
    </row>
    <row r="24" spans="1:10">
      <c r="A24" s="2" t="s">
        <v>126</v>
      </c>
      <c r="C24" s="7"/>
      <c r="I24" s="7"/>
      <c r="J24" s="9"/>
    </row>
    <row r="25" spans="1:10">
      <c r="A25" s="1" t="s">
        <v>127</v>
      </c>
      <c r="C25" s="7">
        <f ca="1">$C$22/$C$20*$C$30</f>
        <v>10300.5201672478</v>
      </c>
      <c r="I25" s="7"/>
      <c r="J25" s="9"/>
    </row>
    <row r="26" spans="1:10">
      <c r="A26" s="1" t="s">
        <v>128</v>
      </c>
      <c r="C26" s="7">
        <f ca="1">$C$21/$C$20*$C$30</f>
        <v>2978.71462874911</v>
      </c>
      <c r="I26" s="7"/>
      <c r="J26" s="9"/>
    </row>
    <row r="27" spans="1:10">
      <c r="I27" s="7"/>
      <c r="J27" s="9"/>
    </row>
    <row r="28" spans="1:10">
      <c r="A28" s="2" t="s">
        <v>129</v>
      </c>
      <c r="B28" s="2"/>
      <c r="I28" s="7"/>
      <c r="J28" s="9"/>
    </row>
    <row r="29" spans="1:10">
      <c r="A29" s="1" t="s">
        <v>130</v>
      </c>
      <c r="C29" s="14">
        <f ca="1">IF(UPPER($C$11)="YES",RATE($C$5,-$C$8,$C$9,0,0),$C$10)</f>
        <v>0.0376369545815312</v>
      </c>
      <c r="I29" s="7"/>
      <c r="J29" s="9"/>
    </row>
    <row r="30" spans="1:10">
      <c r="A30" s="1" t="s">
        <v>132</v>
      </c>
      <c r="C30" s="7">
        <f ca="1">IF(UPPER($C$11)="YES",$C$9,PV($C$29,$C$5,-$C$8,0,0))</f>
        <v>13279.2347959969</v>
      </c>
      <c r="I30" s="7"/>
      <c r="J30" s="9"/>
    </row>
    <row r="31" spans="1:10">
      <c r="A31" s="1" t="s">
        <v>133</v>
      </c>
      <c r="C31" s="7">
        <f ca="1">C30</f>
        <v>13279.2347959969</v>
      </c>
      <c r="I31" s="7"/>
      <c r="J31" s="9"/>
    </row>
    <row r="32" spans="1:10">
      <c r="A32" s="1" t="s">
        <v>134</v>
      </c>
      <c r="C32" s="7">
        <f ca="1">IFERROR(INDEX('List of customer'!N:N,MATCH($S$1,'List of customer'!$B:$B,0)),"")</f>
        <v>13451.6988</v>
      </c>
      <c r="I32" s="7"/>
      <c r="J32" s="9"/>
    </row>
    <row r="33" spans="1:16">
      <c r="A33" s="1" t="s">
        <v>135</v>
      </c>
      <c r="C33" s="7">
        <f ca="1">C31-C32</f>
        <v>-172.464004003081</v>
      </c>
      <c r="I33" s="7"/>
      <c r="J33" s="9"/>
    </row>
    <row r="37" spans="1:16">
      <c r="A37" s="2" t="s">
        <v>136</v>
      </c>
      <c r="I37" s="2"/>
    </row>
    <row r="38" spans="1:16">
      <c r="A38" s="2" t="s">
        <v>139</v>
      </c>
      <c r="B38" s="2" t="s">
        <v>140</v>
      </c>
      <c r="C38" s="2" t="s">
        <v>141</v>
      </c>
      <c r="D38" s="2" t="s">
        <v>142</v>
      </c>
      <c r="E38" s="2" t="s">
        <v>143</v>
      </c>
      <c r="F38" s="2" t="s">
        <v>144</v>
      </c>
      <c r="G38" s="2" t="s">
        <v>145</v>
      </c>
      <c r="I38" s="2"/>
      <c r="J38" s="2"/>
      <c r="K38" s="2"/>
      <c r="L38" s="2"/>
      <c r="M38" s="2"/>
      <c r="O38" s="2"/>
      <c r="P38" s="2"/>
    </row>
    <row r="39" spans="1:16">
      <c r="A39" s="15">
        <v>1</v>
      </c>
      <c r="B39" s="16">
        <f ca="1">$C$6</f>
        <v>45962</v>
      </c>
      <c r="C39" s="7">
        <f ca="1">C30</f>
        <v>13279.2347959969</v>
      </c>
      <c r="D39" s="7">
        <f ca="1" t="shared" ref="D39:D74" si="0">C39*$C$29</f>
        <v>499.789956894425</v>
      </c>
      <c r="E39" s="7">
        <f ca="1" t="shared" ref="E39:E74" si="1">IF(C39&lt;=1,0,$C$8)</f>
        <v>850</v>
      </c>
      <c r="F39" s="7">
        <f ca="1" t="shared" ref="F39:F74" si="2">E39-D39</f>
        <v>350.210043105575</v>
      </c>
      <c r="G39" s="7">
        <f ca="1" t="shared" ref="G39:G74" si="3">C39-F39</f>
        <v>12929.0247528913</v>
      </c>
      <c r="I39" s="7"/>
      <c r="J39" s="7"/>
      <c r="K39" s="7"/>
      <c r="L39" s="7"/>
      <c r="M39" s="7"/>
      <c r="O39" s="7"/>
      <c r="P39" s="7"/>
    </row>
    <row r="40" spans="1:16">
      <c r="A40" s="15">
        <v>2</v>
      </c>
      <c r="B40" s="16">
        <f ca="1" t="shared" ref="B40:B74" si="4">EDATE(B39,1)</f>
        <v>45992</v>
      </c>
      <c r="C40" s="7">
        <f ca="1" t="shared" ref="C40:C74" si="5">IF(G39&lt;=0,0,G39)</f>
        <v>12929.0247528913</v>
      </c>
      <c r="D40" s="7">
        <f ca="1" t="shared" si="0"/>
        <v>486.609117408065</v>
      </c>
      <c r="E40" s="7">
        <f ca="1" t="shared" si="1"/>
        <v>850</v>
      </c>
      <c r="F40" s="7">
        <f ca="1" t="shared" si="2"/>
        <v>363.390882591935</v>
      </c>
      <c r="G40" s="7">
        <f ca="1" t="shared" si="3"/>
        <v>12565.6338702994</v>
      </c>
      <c r="I40" s="7"/>
      <c r="J40" s="7"/>
      <c r="K40" s="7"/>
      <c r="L40" s="7"/>
      <c r="M40" s="7"/>
      <c r="O40" s="7"/>
      <c r="P40" s="7"/>
    </row>
    <row r="41" spans="1:16">
      <c r="A41" s="15">
        <v>3</v>
      </c>
      <c r="B41" s="16">
        <f ca="1" t="shared" si="4"/>
        <v>46023</v>
      </c>
      <c r="C41" s="7">
        <f ca="1" t="shared" si="5"/>
        <v>12565.6338702994</v>
      </c>
      <c r="D41" s="7">
        <f ca="1" t="shared" si="0"/>
        <v>472.93219126461</v>
      </c>
      <c r="E41" s="7">
        <f ca="1" t="shared" si="1"/>
        <v>850</v>
      </c>
      <c r="F41" s="7">
        <f ca="1" t="shared" si="2"/>
        <v>377.06780873539</v>
      </c>
      <c r="G41" s="7">
        <f ca="1" t="shared" si="3"/>
        <v>12188.566061564</v>
      </c>
      <c r="I41" s="7"/>
      <c r="J41" s="7"/>
      <c r="K41" s="7"/>
      <c r="L41" s="7"/>
      <c r="M41" s="7"/>
      <c r="O41" s="7"/>
      <c r="P41" s="7"/>
    </row>
    <row r="42" spans="1:16">
      <c r="A42" s="15">
        <v>4</v>
      </c>
      <c r="B42" s="16">
        <f ca="1" t="shared" si="4"/>
        <v>46054</v>
      </c>
      <c r="C42" s="7">
        <f ca="1" t="shared" si="5"/>
        <v>12188.566061564</v>
      </c>
      <c r="D42" s="7">
        <f ca="1" t="shared" si="0"/>
        <v>458.740507273078</v>
      </c>
      <c r="E42" s="7">
        <f ca="1" t="shared" si="1"/>
        <v>850</v>
      </c>
      <c r="F42" s="7">
        <f ca="1" t="shared" si="2"/>
        <v>391.259492726922</v>
      </c>
      <c r="G42" s="7">
        <f ca="1" t="shared" si="3"/>
        <v>11797.3065688371</v>
      </c>
      <c r="I42" s="7"/>
      <c r="J42" s="7"/>
      <c r="K42" s="7"/>
      <c r="L42" s="7"/>
      <c r="M42" s="7"/>
      <c r="O42" s="7"/>
      <c r="P42" s="7"/>
    </row>
    <row r="43" spans="1:16">
      <c r="A43" s="15">
        <v>5</v>
      </c>
      <c r="B43" s="16">
        <f ca="1" t="shared" si="4"/>
        <v>46082</v>
      </c>
      <c r="C43" s="7">
        <f ca="1" t="shared" si="5"/>
        <v>11797.3065688371</v>
      </c>
      <c r="D43" s="7">
        <f ca="1" t="shared" si="0"/>
        <v>444.014691515722</v>
      </c>
      <c r="E43" s="7">
        <f ca="1" t="shared" si="1"/>
        <v>850</v>
      </c>
      <c r="F43" s="7">
        <f ca="1" t="shared" si="2"/>
        <v>405.985308484278</v>
      </c>
      <c r="G43" s="7">
        <f ca="1" t="shared" si="3"/>
        <v>11391.3212603528</v>
      </c>
      <c r="I43" s="7"/>
      <c r="J43" s="7"/>
      <c r="K43" s="7"/>
      <c r="L43" s="7"/>
      <c r="M43" s="7"/>
      <c r="O43" s="7"/>
      <c r="P43" s="7"/>
    </row>
    <row r="44" spans="1:16">
      <c r="A44" s="15">
        <v>6</v>
      </c>
      <c r="B44" s="16">
        <f ca="1" t="shared" si="4"/>
        <v>46113</v>
      </c>
      <c r="C44" s="7">
        <f ca="1" t="shared" si="5"/>
        <v>11391.3212603528</v>
      </c>
      <c r="D44" s="7">
        <f ca="1" t="shared" si="0"/>
        <v>428.73464089953</v>
      </c>
      <c r="E44" s="7">
        <f ca="1" t="shared" si="1"/>
        <v>850</v>
      </c>
      <c r="F44" s="7">
        <f ca="1" t="shared" si="2"/>
        <v>421.26535910047</v>
      </c>
      <c r="G44" s="7">
        <f ca="1" t="shared" si="3"/>
        <v>10970.0559012523</v>
      </c>
      <c r="I44" s="7"/>
      <c r="J44" s="7"/>
      <c r="K44" s="7"/>
      <c r="L44" s="7"/>
      <c r="M44" s="7"/>
      <c r="O44" s="7"/>
      <c r="P44" s="7"/>
    </row>
    <row r="45" spans="1:16">
      <c r="A45" s="15">
        <v>7</v>
      </c>
      <c r="B45" s="16">
        <f ca="1" t="shared" si="4"/>
        <v>46143</v>
      </c>
      <c r="C45" s="7">
        <f ca="1" t="shared" si="5"/>
        <v>10970.0559012523</v>
      </c>
      <c r="D45" s="7">
        <f ca="1" t="shared" si="0"/>
        <v>412.879495712294</v>
      </c>
      <c r="E45" s="7">
        <f ca="1" t="shared" si="1"/>
        <v>850</v>
      </c>
      <c r="F45" s="7">
        <f ca="1" t="shared" si="2"/>
        <v>437.120504287706</v>
      </c>
      <c r="G45" s="7">
        <f ca="1" t="shared" si="3"/>
        <v>10532.9353969646</v>
      </c>
      <c r="I45" s="7"/>
      <c r="J45" s="7"/>
      <c r="K45" s="7"/>
      <c r="L45" s="7"/>
      <c r="M45" s="7"/>
      <c r="O45" s="7"/>
      <c r="P45" s="7"/>
    </row>
    <row r="46" spans="1:16">
      <c r="A46" s="15">
        <v>8</v>
      </c>
      <c r="B46" s="16">
        <f ca="1" t="shared" si="4"/>
        <v>46174</v>
      </c>
      <c r="C46" s="7">
        <f ca="1" t="shared" si="5"/>
        <v>10532.9353969646</v>
      </c>
      <c r="D46" s="7">
        <f ca="1" t="shared" si="0"/>
        <v>396.427611145761</v>
      </c>
      <c r="E46" s="7">
        <f ca="1" t="shared" si="1"/>
        <v>850</v>
      </c>
      <c r="F46" s="7">
        <f ca="1" t="shared" si="2"/>
        <v>453.572388854239</v>
      </c>
      <c r="G46" s="7">
        <f ca="1" t="shared" si="3"/>
        <v>10079.3630081104</v>
      </c>
      <c r="I46" s="7"/>
      <c r="J46" s="7"/>
      <c r="K46" s="7"/>
      <c r="L46" s="7"/>
      <c r="M46" s="7"/>
      <c r="O46" s="7"/>
      <c r="P46" s="7"/>
    </row>
    <row r="47" spans="1:16">
      <c r="A47" s="15">
        <v>9</v>
      </c>
      <c r="B47" s="16">
        <f ca="1" t="shared" si="4"/>
        <v>46204</v>
      </c>
      <c r="C47" s="7">
        <f ca="1" t="shared" si="5"/>
        <v>10079.3630081104</v>
      </c>
      <c r="D47" s="7">
        <f ca="1" t="shared" si="0"/>
        <v>379.356527747017</v>
      </c>
      <c r="E47" s="7">
        <f ca="1" t="shared" si="1"/>
        <v>850</v>
      </c>
      <c r="F47" s="7">
        <f ca="1" t="shared" si="2"/>
        <v>470.643472252983</v>
      </c>
      <c r="G47" s="7">
        <f ca="1" t="shared" si="3"/>
        <v>9608.71953585742</v>
      </c>
      <c r="I47" s="7"/>
      <c r="J47" s="7"/>
      <c r="K47" s="7"/>
      <c r="L47" s="7"/>
      <c r="M47" s="7"/>
      <c r="O47" s="7"/>
      <c r="P47" s="7"/>
    </row>
    <row r="48" spans="1:16">
      <c r="A48" s="15">
        <v>10</v>
      </c>
      <c r="B48" s="16">
        <f ca="1" t="shared" si="4"/>
        <v>46235</v>
      </c>
      <c r="C48" s="7">
        <f ca="1" t="shared" si="5"/>
        <v>9608.71953585742</v>
      </c>
      <c r="D48" s="7">
        <f ca="1" t="shared" si="0"/>
        <v>361.642940757738</v>
      </c>
      <c r="E48" s="7">
        <f ca="1" t="shared" si="1"/>
        <v>850</v>
      </c>
      <c r="F48" s="7">
        <f ca="1" t="shared" si="2"/>
        <v>488.357059242262</v>
      </c>
      <c r="G48" s="7">
        <f ca="1" t="shared" si="3"/>
        <v>9120.36247661516</v>
      </c>
      <c r="I48" s="7"/>
      <c r="J48" s="7"/>
      <c r="K48" s="7"/>
      <c r="L48" s="7"/>
      <c r="M48" s="7"/>
      <c r="O48" s="7"/>
      <c r="P48" s="7"/>
    </row>
    <row r="49" spans="1:16">
      <c r="A49" s="15">
        <v>11</v>
      </c>
      <c r="B49" s="16">
        <f ca="1" t="shared" si="4"/>
        <v>46266</v>
      </c>
      <c r="C49" s="7">
        <f ca="1" t="shared" si="5"/>
        <v>9120.36247661516</v>
      </c>
      <c r="D49" s="7">
        <f ca="1" t="shared" si="0"/>
        <v>343.262668299467</v>
      </c>
      <c r="E49" s="7">
        <f ca="1" t="shared" si="1"/>
        <v>850</v>
      </c>
      <c r="F49" s="7">
        <f ca="1" t="shared" si="2"/>
        <v>506.737331700533</v>
      </c>
      <c r="G49" s="7">
        <f ca="1" t="shared" si="3"/>
        <v>8613.62514491463</v>
      </c>
      <c r="I49" s="7"/>
      <c r="J49" s="7"/>
      <c r="K49" s="7"/>
      <c r="L49" s="7"/>
      <c r="M49" s="7"/>
      <c r="O49" s="7"/>
      <c r="P49" s="7"/>
    </row>
    <row r="50" spans="1:16">
      <c r="A50" s="15">
        <v>12</v>
      </c>
      <c r="B50" s="16">
        <f ca="1" t="shared" si="4"/>
        <v>46296</v>
      </c>
      <c r="C50" s="7">
        <f ca="1" t="shared" si="5"/>
        <v>8613.62514491463</v>
      </c>
      <c r="D50" s="7">
        <f ca="1" t="shared" si="0"/>
        <v>324.190618361487</v>
      </c>
      <c r="E50" s="7">
        <f ca="1" t="shared" si="1"/>
        <v>850</v>
      </c>
      <c r="F50" s="7">
        <f ca="1" t="shared" si="2"/>
        <v>525.809381638513</v>
      </c>
      <c r="G50" s="7">
        <f ca="1" t="shared" si="3"/>
        <v>8087.81576327611</v>
      </c>
      <c r="I50" s="7"/>
      <c r="J50" s="7"/>
      <c r="K50" s="7"/>
      <c r="L50" s="7"/>
      <c r="M50" s="7"/>
      <c r="O50" s="7"/>
      <c r="P50" s="7"/>
    </row>
    <row r="51" spans="1:16">
      <c r="A51" s="15">
        <v>13</v>
      </c>
      <c r="B51" s="16">
        <f ca="1" t="shared" si="4"/>
        <v>46327</v>
      </c>
      <c r="C51" s="7">
        <f ca="1" t="shared" si="5"/>
        <v>8087.81576327611</v>
      </c>
      <c r="D51" s="7">
        <f ca="1" t="shared" si="0"/>
        <v>304.400754546216</v>
      </c>
      <c r="E51" s="7">
        <f ca="1" t="shared" si="1"/>
        <v>850</v>
      </c>
      <c r="F51" s="7">
        <f ca="1" t="shared" si="2"/>
        <v>545.599245453785</v>
      </c>
      <c r="G51" s="7">
        <f ca="1" t="shared" si="3"/>
        <v>7542.21651782233</v>
      </c>
      <c r="I51" s="7"/>
      <c r="J51" s="7"/>
      <c r="K51" s="7"/>
      <c r="L51" s="7"/>
      <c r="M51" s="7"/>
      <c r="O51" s="7"/>
      <c r="P51" s="7"/>
    </row>
    <row r="52" spans="1:16">
      <c r="A52" s="15">
        <v>14</v>
      </c>
      <c r="B52" s="16">
        <f ca="1" t="shared" si="4"/>
        <v>46357</v>
      </c>
      <c r="C52" s="7">
        <f ca="1" t="shared" si="5"/>
        <v>7542.21651782233</v>
      </c>
      <c r="D52" s="7">
        <f ca="1" t="shared" si="0"/>
        <v>283.866060525354</v>
      </c>
      <c r="E52" s="7">
        <f ca="1" t="shared" si="1"/>
        <v>850</v>
      </c>
      <c r="F52" s="7">
        <f ca="1" t="shared" si="2"/>
        <v>566.133939474646</v>
      </c>
      <c r="G52" s="7">
        <f ca="1" t="shared" si="3"/>
        <v>6976.08257834768</v>
      </c>
      <c r="I52" s="7"/>
      <c r="J52" s="7"/>
      <c r="K52" s="7"/>
      <c r="L52" s="7"/>
      <c r="M52" s="7"/>
      <c r="O52" s="7"/>
      <c r="P52" s="7"/>
    </row>
    <row r="53" spans="1:16">
      <c r="A53" s="15">
        <v>15</v>
      </c>
      <c r="B53" s="16">
        <f ca="1" t="shared" si="4"/>
        <v>46388</v>
      </c>
      <c r="C53" s="7">
        <f ca="1" t="shared" si="5"/>
        <v>6976.08257834768</v>
      </c>
      <c r="D53" s="7">
        <f ca="1" t="shared" si="0"/>
        <v>262.558503158283</v>
      </c>
      <c r="E53" s="7">
        <f ca="1" t="shared" si="1"/>
        <v>850</v>
      </c>
      <c r="F53" s="7">
        <f ca="1" t="shared" si="2"/>
        <v>587.441496841717</v>
      </c>
      <c r="G53" s="7">
        <f ca="1" t="shared" si="3"/>
        <v>6388.64108150597</v>
      </c>
      <c r="I53" s="7"/>
      <c r="J53" s="7"/>
      <c r="K53" s="7"/>
      <c r="L53" s="7"/>
      <c r="M53" s="7"/>
      <c r="O53" s="7"/>
      <c r="P53" s="7"/>
    </row>
    <row r="54" spans="1:16">
      <c r="A54" s="15">
        <v>16</v>
      </c>
      <c r="B54" s="16">
        <f ca="1" t="shared" si="4"/>
        <v>46419</v>
      </c>
      <c r="C54" s="7">
        <f ca="1" t="shared" si="5"/>
        <v>6388.64108150597</v>
      </c>
      <c r="D54" s="7">
        <f ca="1" t="shared" si="0"/>
        <v>240.448994222345</v>
      </c>
      <c r="E54" s="7">
        <f ca="1" t="shared" si="1"/>
        <v>850</v>
      </c>
      <c r="F54" s="7">
        <f ca="1" t="shared" si="2"/>
        <v>609.551005777655</v>
      </c>
      <c r="G54" s="7">
        <f ca="1" t="shared" si="3"/>
        <v>5779.09007572831</v>
      </c>
      <c r="I54" s="7"/>
      <c r="J54" s="7"/>
      <c r="K54" s="7"/>
      <c r="L54" s="7"/>
      <c r="M54" s="7"/>
      <c r="O54" s="7"/>
      <c r="P54" s="7"/>
    </row>
    <row r="55" spans="1:16">
      <c r="A55" s="15">
        <v>17</v>
      </c>
      <c r="B55" s="16">
        <f ca="1" t="shared" si="4"/>
        <v>46447</v>
      </c>
      <c r="C55" s="7">
        <f ca="1" t="shared" si="5"/>
        <v>5779.09007572831</v>
      </c>
      <c r="D55" s="7">
        <f ca="1" t="shared" si="0"/>
        <v>217.507350702764</v>
      </c>
      <c r="E55" s="7">
        <f ca="1" t="shared" si="1"/>
        <v>850</v>
      </c>
      <c r="F55" s="7">
        <f ca="1" t="shared" si="2"/>
        <v>632.492649297236</v>
      </c>
      <c r="G55" s="7">
        <f ca="1" t="shared" si="3"/>
        <v>5146.59742643107</v>
      </c>
      <c r="I55" s="7"/>
      <c r="J55" s="7"/>
      <c r="K55" s="7"/>
      <c r="L55" s="7"/>
      <c r="M55" s="7"/>
      <c r="O55" s="7"/>
      <c r="P55" s="7"/>
    </row>
    <row r="56" spans="1:16">
      <c r="A56" s="15">
        <v>18</v>
      </c>
      <c r="B56" s="16">
        <f ca="1" t="shared" si="4"/>
        <v>46478</v>
      </c>
      <c r="C56" s="7">
        <f ca="1" t="shared" si="5"/>
        <v>5146.59742643107</v>
      </c>
      <c r="D56" s="7">
        <f ca="1" t="shared" si="0"/>
        <v>193.702253588012</v>
      </c>
      <c r="E56" s="7">
        <f ca="1" t="shared" si="1"/>
        <v>850</v>
      </c>
      <c r="F56" s="7">
        <f ca="1" t="shared" si="2"/>
        <v>656.297746411988</v>
      </c>
      <c r="G56" s="7">
        <f ca="1" t="shared" si="3"/>
        <v>4490.29968001909</v>
      </c>
      <c r="I56" s="7"/>
      <c r="J56" s="7"/>
      <c r="K56" s="7"/>
      <c r="L56" s="7"/>
      <c r="M56" s="7"/>
      <c r="O56" s="7"/>
      <c r="P56" s="7"/>
    </row>
    <row r="57" spans="1:16">
      <c r="A57" s="15">
        <v>19</v>
      </c>
      <c r="B57" s="16">
        <f ca="1" t="shared" si="4"/>
        <v>46508</v>
      </c>
      <c r="C57" s="7">
        <f ca="1" t="shared" si="5"/>
        <v>4490.29968001909</v>
      </c>
      <c r="D57" s="7">
        <f ca="1" t="shared" si="0"/>
        <v>169.001205114343</v>
      </c>
      <c r="E57" s="7">
        <f ca="1" t="shared" si="1"/>
        <v>850</v>
      </c>
      <c r="F57" s="7">
        <f ca="1" t="shared" si="2"/>
        <v>680.998794885657</v>
      </c>
      <c r="G57" s="7">
        <f ca="1" t="shared" si="3"/>
        <v>3809.30088513343</v>
      </c>
      <c r="I57" s="7"/>
      <c r="J57" s="7"/>
      <c r="K57" s="7"/>
      <c r="L57" s="7"/>
      <c r="M57" s="7"/>
      <c r="O57" s="7"/>
      <c r="P57" s="7"/>
    </row>
    <row r="58" spans="1:16">
      <c r="A58" s="15">
        <v>20</v>
      </c>
      <c r="B58" s="16">
        <f ca="1" t="shared" si="4"/>
        <v>46539</v>
      </c>
      <c r="C58" s="7">
        <f ca="1" t="shared" si="5"/>
        <v>3809.30088513343</v>
      </c>
      <c r="D58" s="7">
        <f ca="1" t="shared" si="0"/>
        <v>143.370484401154</v>
      </c>
      <c r="E58" s="7">
        <f ca="1" t="shared" si="1"/>
        <v>850</v>
      </c>
      <c r="F58" s="7">
        <f ca="1" t="shared" si="2"/>
        <v>706.629515598846</v>
      </c>
      <c r="G58" s="7">
        <f ca="1" t="shared" si="3"/>
        <v>3102.67136953458</v>
      </c>
      <c r="I58" s="7"/>
      <c r="J58" s="7"/>
      <c r="K58" s="7"/>
      <c r="L58" s="7"/>
      <c r="M58" s="7"/>
      <c r="O58" s="7"/>
      <c r="P58" s="7"/>
    </row>
    <row r="59" spans="1:16">
      <c r="A59" s="15">
        <v>21</v>
      </c>
      <c r="B59" s="16">
        <f ca="1" t="shared" si="4"/>
        <v>46569</v>
      </c>
      <c r="C59" s="7">
        <f ca="1" t="shared" si="5"/>
        <v>3102.67136953458</v>
      </c>
      <c r="D59" s="7">
        <f ca="1" t="shared" si="0"/>
        <v>116.77510141659</v>
      </c>
      <c r="E59" s="7">
        <f ca="1" t="shared" si="1"/>
        <v>850</v>
      </c>
      <c r="F59" s="7">
        <f ca="1" t="shared" si="2"/>
        <v>733.22489858341</v>
      </c>
      <c r="G59" s="7">
        <f ca="1" t="shared" si="3"/>
        <v>2369.44647095117</v>
      </c>
      <c r="I59" s="7"/>
      <c r="J59" s="7"/>
      <c r="K59" s="7"/>
      <c r="L59" s="7"/>
      <c r="M59" s="7"/>
      <c r="O59" s="7"/>
      <c r="P59" s="7"/>
    </row>
    <row r="60" spans="1:16">
      <c r="A60" s="15">
        <v>22</v>
      </c>
      <c r="B60" s="16">
        <f ca="1" t="shared" si="4"/>
        <v>46600</v>
      </c>
      <c r="C60" s="7">
        <f ca="1" t="shared" si="5"/>
        <v>2369.44647095117</v>
      </c>
      <c r="D60" s="7">
        <f ca="1" t="shared" si="0"/>
        <v>89.1787492105588</v>
      </c>
      <c r="E60" s="7">
        <f ca="1" t="shared" si="1"/>
        <v>850</v>
      </c>
      <c r="F60" s="7">
        <f ca="1" t="shared" si="2"/>
        <v>760.821250789441</v>
      </c>
      <c r="G60" s="7">
        <f ca="1" t="shared" si="3"/>
        <v>1608.62522016173</v>
      </c>
      <c r="I60" s="7"/>
      <c r="J60" s="7"/>
      <c r="K60" s="7"/>
      <c r="L60" s="7"/>
      <c r="M60" s="7"/>
      <c r="O60" s="7"/>
      <c r="P60" s="7"/>
    </row>
    <row r="61" spans="1:16">
      <c r="A61" s="15">
        <v>23</v>
      </c>
      <c r="B61" s="16">
        <f ca="1" t="shared" si="4"/>
        <v>46631</v>
      </c>
      <c r="C61" s="7">
        <f ca="1" t="shared" si="5"/>
        <v>1608.62522016173</v>
      </c>
      <c r="D61" s="7">
        <f ca="1" t="shared" si="0"/>
        <v>60.5437543499328</v>
      </c>
      <c r="E61" s="7">
        <f ca="1" t="shared" si="1"/>
        <v>850</v>
      </c>
      <c r="F61" s="7">
        <f ca="1" t="shared" si="2"/>
        <v>789.456245650067</v>
      </c>
      <c r="G61" s="7">
        <f ca="1" t="shared" si="3"/>
        <v>819.168974511665</v>
      </c>
      <c r="I61" s="7"/>
      <c r="J61" s="7"/>
      <c r="K61" s="7"/>
      <c r="L61" s="7"/>
      <c r="M61" s="7"/>
      <c r="O61" s="7"/>
      <c r="P61" s="7"/>
    </row>
    <row r="62" spans="1:16">
      <c r="A62" s="15">
        <v>24</v>
      </c>
      <c r="B62" s="16">
        <f ca="1" t="shared" si="4"/>
        <v>46661</v>
      </c>
      <c r="C62" s="7">
        <f ca="1" t="shared" si="5"/>
        <v>819.168974511665</v>
      </c>
      <c r="D62" s="7">
        <f ca="1" t="shared" si="0"/>
        <v>30.8310254882951</v>
      </c>
      <c r="E62" s="7">
        <f ca="1" t="shared" si="1"/>
        <v>850</v>
      </c>
      <c r="F62" s="7">
        <f ca="1" t="shared" si="2"/>
        <v>819.168974511705</v>
      </c>
      <c r="G62" s="7">
        <f ca="1" t="shared" si="3"/>
        <v>-3.97903932025656e-11</v>
      </c>
      <c r="I62" s="7"/>
      <c r="J62" s="7"/>
      <c r="K62" s="7"/>
      <c r="L62" s="7"/>
      <c r="M62" s="7"/>
      <c r="O62" s="7"/>
      <c r="P62" s="7"/>
    </row>
    <row r="63" spans="1:16">
      <c r="A63" s="15">
        <v>25</v>
      </c>
      <c r="B63" s="16">
        <f ca="1" t="shared" si="4"/>
        <v>46692</v>
      </c>
      <c r="C63" s="7">
        <f ca="1" t="shared" si="5"/>
        <v>0</v>
      </c>
      <c r="D63" s="7">
        <f ca="1" t="shared" si="0"/>
        <v>0</v>
      </c>
      <c r="E63" s="7">
        <f ca="1" t="shared" si="1"/>
        <v>0</v>
      </c>
      <c r="F63" s="7">
        <f ca="1" t="shared" si="2"/>
        <v>0</v>
      </c>
      <c r="G63" s="7">
        <f ca="1" t="shared" si="3"/>
        <v>0</v>
      </c>
      <c r="I63" s="7"/>
      <c r="J63" s="7"/>
      <c r="K63" s="7"/>
      <c r="L63" s="7"/>
      <c r="M63" s="7"/>
      <c r="O63" s="7"/>
      <c r="P63" s="7"/>
    </row>
    <row r="64" spans="1:16">
      <c r="A64" s="15">
        <v>26</v>
      </c>
      <c r="B64" s="16">
        <f ca="1" t="shared" si="4"/>
        <v>46722</v>
      </c>
      <c r="C64" s="7">
        <f ca="1" t="shared" si="5"/>
        <v>0</v>
      </c>
      <c r="D64" s="7">
        <f ca="1" t="shared" si="0"/>
        <v>0</v>
      </c>
      <c r="E64" s="7">
        <f ca="1" t="shared" si="1"/>
        <v>0</v>
      </c>
      <c r="F64" s="7">
        <f ca="1" t="shared" si="2"/>
        <v>0</v>
      </c>
      <c r="G64" s="7">
        <f ca="1" t="shared" si="3"/>
        <v>0</v>
      </c>
      <c r="I64" s="7"/>
      <c r="J64" s="7"/>
      <c r="K64" s="7"/>
      <c r="L64" s="7"/>
      <c r="M64" s="7"/>
      <c r="O64" s="7"/>
      <c r="P64" s="7"/>
    </row>
    <row r="65" spans="1:16">
      <c r="A65" s="15">
        <v>27</v>
      </c>
      <c r="B65" s="16">
        <f ca="1" t="shared" si="4"/>
        <v>46753</v>
      </c>
      <c r="C65" s="7">
        <f ca="1" t="shared" si="5"/>
        <v>0</v>
      </c>
      <c r="D65" s="7">
        <f ca="1" t="shared" si="0"/>
        <v>0</v>
      </c>
      <c r="E65" s="7">
        <f ca="1" t="shared" si="1"/>
        <v>0</v>
      </c>
      <c r="F65" s="7">
        <f ca="1" t="shared" si="2"/>
        <v>0</v>
      </c>
      <c r="G65" s="7">
        <f ca="1" t="shared" si="3"/>
        <v>0</v>
      </c>
      <c r="I65" s="7"/>
      <c r="J65" s="7"/>
      <c r="K65" s="7"/>
      <c r="L65" s="7"/>
      <c r="M65" s="7"/>
      <c r="O65" s="7"/>
      <c r="P65" s="7"/>
    </row>
    <row r="66" spans="1:16">
      <c r="A66" s="15">
        <v>28</v>
      </c>
      <c r="B66" s="16">
        <f ca="1" t="shared" si="4"/>
        <v>46784</v>
      </c>
      <c r="C66" s="7">
        <f ca="1" t="shared" si="5"/>
        <v>0</v>
      </c>
      <c r="D66" s="7">
        <f ca="1" t="shared" si="0"/>
        <v>0</v>
      </c>
      <c r="E66" s="7">
        <f ca="1" t="shared" si="1"/>
        <v>0</v>
      </c>
      <c r="F66" s="7">
        <f ca="1" t="shared" si="2"/>
        <v>0</v>
      </c>
      <c r="G66" s="7">
        <f ca="1" t="shared" si="3"/>
        <v>0</v>
      </c>
      <c r="I66" s="7"/>
      <c r="J66" s="7"/>
      <c r="K66" s="7"/>
      <c r="L66" s="7"/>
      <c r="M66" s="7"/>
      <c r="O66" s="7"/>
      <c r="P66" s="7"/>
    </row>
    <row r="67" spans="1:16">
      <c r="A67" s="15">
        <v>29</v>
      </c>
      <c r="B67" s="16">
        <f ca="1" t="shared" si="4"/>
        <v>46813</v>
      </c>
      <c r="C67" s="7">
        <f ca="1" t="shared" si="5"/>
        <v>0</v>
      </c>
      <c r="D67" s="7">
        <f ca="1" t="shared" si="0"/>
        <v>0</v>
      </c>
      <c r="E67" s="7">
        <f ca="1" t="shared" si="1"/>
        <v>0</v>
      </c>
      <c r="F67" s="7">
        <f ca="1" t="shared" si="2"/>
        <v>0</v>
      </c>
      <c r="G67" s="7">
        <f ca="1" t="shared" si="3"/>
        <v>0</v>
      </c>
      <c r="I67" s="7"/>
      <c r="J67" s="7"/>
      <c r="K67" s="7"/>
      <c r="L67" s="7"/>
      <c r="M67" s="7"/>
      <c r="O67" s="7"/>
      <c r="P67" s="7"/>
    </row>
    <row r="68" spans="1:16">
      <c r="A68" s="15">
        <v>30</v>
      </c>
      <c r="B68" s="16">
        <f ca="1" t="shared" si="4"/>
        <v>46844</v>
      </c>
      <c r="C68" s="7">
        <f ca="1" t="shared" si="5"/>
        <v>0</v>
      </c>
      <c r="D68" s="7">
        <f ca="1" t="shared" si="0"/>
        <v>0</v>
      </c>
      <c r="E68" s="7">
        <f ca="1" t="shared" si="1"/>
        <v>0</v>
      </c>
      <c r="F68" s="7">
        <f ca="1" t="shared" si="2"/>
        <v>0</v>
      </c>
      <c r="G68" s="7">
        <f ca="1" t="shared" si="3"/>
        <v>0</v>
      </c>
      <c r="I68" s="7"/>
      <c r="J68" s="7"/>
      <c r="K68" s="7"/>
      <c r="L68" s="7"/>
      <c r="M68" s="7"/>
      <c r="O68" s="7"/>
      <c r="P68" s="7"/>
    </row>
    <row r="69" spans="1:16">
      <c r="A69" s="15">
        <v>31</v>
      </c>
      <c r="B69" s="16">
        <f ca="1" t="shared" si="4"/>
        <v>46874</v>
      </c>
      <c r="C69" s="7">
        <f ca="1" t="shared" si="5"/>
        <v>0</v>
      </c>
      <c r="D69" s="7">
        <f ca="1" t="shared" si="0"/>
        <v>0</v>
      </c>
      <c r="E69" s="7">
        <f ca="1" t="shared" si="1"/>
        <v>0</v>
      </c>
      <c r="F69" s="7">
        <f ca="1" t="shared" si="2"/>
        <v>0</v>
      </c>
      <c r="G69" s="7">
        <f ca="1" t="shared" si="3"/>
        <v>0</v>
      </c>
      <c r="I69" s="7"/>
      <c r="J69" s="7"/>
      <c r="K69" s="7"/>
      <c r="L69" s="7"/>
      <c r="M69" s="7"/>
      <c r="O69" s="7"/>
      <c r="P69" s="7"/>
    </row>
    <row r="70" spans="1:16">
      <c r="A70" s="15">
        <v>32</v>
      </c>
      <c r="B70" s="16">
        <f ca="1" t="shared" si="4"/>
        <v>46905</v>
      </c>
      <c r="C70" s="7">
        <f ca="1" t="shared" si="5"/>
        <v>0</v>
      </c>
      <c r="D70" s="7">
        <f ca="1" t="shared" si="0"/>
        <v>0</v>
      </c>
      <c r="E70" s="7">
        <f ca="1" t="shared" si="1"/>
        <v>0</v>
      </c>
      <c r="F70" s="7">
        <f ca="1" t="shared" si="2"/>
        <v>0</v>
      </c>
      <c r="G70" s="7">
        <f ca="1" t="shared" si="3"/>
        <v>0</v>
      </c>
      <c r="I70" s="7"/>
      <c r="J70" s="7"/>
      <c r="K70" s="7"/>
      <c r="L70" s="7"/>
      <c r="M70" s="7"/>
      <c r="O70" s="7"/>
      <c r="P70" s="7"/>
    </row>
    <row r="71" spans="1:16">
      <c r="A71" s="15">
        <v>33</v>
      </c>
      <c r="B71" s="16">
        <f ca="1" t="shared" si="4"/>
        <v>46935</v>
      </c>
      <c r="C71" s="7">
        <f ca="1" t="shared" si="5"/>
        <v>0</v>
      </c>
      <c r="D71" s="7">
        <f ca="1" t="shared" si="0"/>
        <v>0</v>
      </c>
      <c r="E71" s="7">
        <f ca="1" t="shared" si="1"/>
        <v>0</v>
      </c>
      <c r="F71" s="7">
        <f ca="1" t="shared" si="2"/>
        <v>0</v>
      </c>
      <c r="G71" s="7">
        <f ca="1" t="shared" si="3"/>
        <v>0</v>
      </c>
      <c r="I71" s="7"/>
      <c r="J71" s="7"/>
      <c r="K71" s="7"/>
      <c r="L71" s="7"/>
      <c r="M71" s="7"/>
      <c r="O71" s="7"/>
      <c r="P71" s="7"/>
    </row>
    <row r="72" spans="1:16">
      <c r="A72" s="15">
        <v>34</v>
      </c>
      <c r="B72" s="16">
        <f ca="1" t="shared" si="4"/>
        <v>46966</v>
      </c>
      <c r="C72" s="7">
        <f ca="1" t="shared" si="5"/>
        <v>0</v>
      </c>
      <c r="D72" s="7">
        <f ca="1" t="shared" si="0"/>
        <v>0</v>
      </c>
      <c r="E72" s="7">
        <f ca="1" t="shared" si="1"/>
        <v>0</v>
      </c>
      <c r="F72" s="7">
        <f ca="1" t="shared" si="2"/>
        <v>0</v>
      </c>
      <c r="G72" s="7">
        <f ca="1" t="shared" si="3"/>
        <v>0</v>
      </c>
      <c r="I72" s="7"/>
      <c r="J72" s="7"/>
      <c r="K72" s="7"/>
      <c r="L72" s="7"/>
      <c r="M72" s="7"/>
      <c r="O72" s="7"/>
      <c r="P72" s="7"/>
    </row>
    <row r="73" spans="1:16">
      <c r="A73" s="15">
        <v>35</v>
      </c>
      <c r="B73" s="16">
        <f ca="1" t="shared" si="4"/>
        <v>46997</v>
      </c>
      <c r="C73" s="7">
        <f ca="1" t="shared" si="5"/>
        <v>0</v>
      </c>
      <c r="D73" s="7">
        <f ca="1" t="shared" si="0"/>
        <v>0</v>
      </c>
      <c r="E73" s="7">
        <f ca="1" t="shared" si="1"/>
        <v>0</v>
      </c>
      <c r="F73" s="7">
        <f ca="1" t="shared" si="2"/>
        <v>0</v>
      </c>
      <c r="G73" s="7">
        <f ca="1" t="shared" si="3"/>
        <v>0</v>
      </c>
      <c r="I73" s="7"/>
      <c r="J73" s="7"/>
      <c r="K73" s="7"/>
      <c r="L73" s="7"/>
      <c r="M73" s="7"/>
      <c r="O73" s="7"/>
      <c r="P73" s="7"/>
    </row>
    <row r="74" spans="1:16">
      <c r="A74" s="15">
        <v>36</v>
      </c>
      <c r="B74" s="16">
        <f ca="1" t="shared" si="4"/>
        <v>47027</v>
      </c>
      <c r="C74" s="7">
        <f ca="1" t="shared" si="5"/>
        <v>0</v>
      </c>
      <c r="D74" s="7">
        <f ca="1" t="shared" si="0"/>
        <v>0</v>
      </c>
      <c r="E74" s="7">
        <f ca="1" t="shared" si="1"/>
        <v>0</v>
      </c>
      <c r="F74" s="7">
        <f ca="1" t="shared" si="2"/>
        <v>0</v>
      </c>
      <c r="G74" s="7">
        <f ca="1" t="shared" si="3"/>
        <v>0</v>
      </c>
      <c r="I74" s="7"/>
      <c r="J74" s="7"/>
      <c r="K74" s="7"/>
      <c r="L74" s="7"/>
      <c r="M74" s="7"/>
      <c r="O74" s="7"/>
      <c r="P74" s="7"/>
    </row>
    <row r="75" spans="1:16">
      <c r="A75" s="15"/>
      <c r="B75" s="16"/>
      <c r="C75" s="7"/>
      <c r="D75" s="7"/>
      <c r="E75" s="7"/>
      <c r="F75" s="7"/>
      <c r="G75" s="7"/>
      <c r="I75" s="7"/>
      <c r="J75" s="7"/>
      <c r="K75" s="7"/>
    </row>
    <row r="76" spans="1:16">
      <c r="A76" s="2" t="s">
        <v>146</v>
      </c>
      <c r="B76" s="16"/>
      <c r="D76" s="2" t="s">
        <v>147</v>
      </c>
      <c r="E76" s="7">
        <f ca="1">SUM(D39:D74)</f>
        <v>7120.76520400304</v>
      </c>
      <c r="J76" s="2"/>
      <c r="K76" s="7"/>
    </row>
    <row r="77" spans="1:16">
      <c r="D77" s="2" t="s">
        <v>148</v>
      </c>
      <c r="E77" s="7">
        <f ca="1">SUM(E39:E74)</f>
        <v>20400</v>
      </c>
      <c r="J77" s="2"/>
      <c r="K77" s="7"/>
    </row>
  </sheetData>
  <mergeCells count="1">
    <mergeCell ref="A1:F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Z77"/>
  <sheetViews>
    <sheetView topLeftCell="A67" workbookViewId="0">
      <selection activeCell="G19" sqref="G19"/>
    </sheetView>
  </sheetViews>
  <sheetFormatPr defaultColWidth="9" defaultRowHeight="14.4"/>
  <cols>
    <col min="1" max="7" width="14.1666666666667" style="1" customWidth="1"/>
    <col min="8" max="8" width="4.66666666666667" style="1" customWidth="1"/>
    <col min="9" max="13" width="14.1666666666667" style="1" customWidth="1"/>
    <col min="14" max="14" width="4.66666666666667" style="1" customWidth="1"/>
    <col min="15" max="18" width="14.1666666666667" style="1" customWidth="1"/>
    <col min="19" max="20" width="9" style="1" customWidth="1"/>
    <col min="21" max="16384" width="9" style="1"/>
  </cols>
  <sheetData>
    <row r="1" ht="18.75" customHeight="1" spans="1:26">
      <c r="A1" s="2" t="str">
        <f ca="1">IFERROR(INDEX('List of customer'!D:D,MATCH($S$1,'List of customer'!$B:$B,0)),"")</f>
        <v>Nyonya Recipe </v>
      </c>
      <c r="K1" s="2" t="s">
        <v>87</v>
      </c>
      <c r="L1" s="3">
        <v>46022</v>
      </c>
      <c r="S1" s="4" t="str">
        <f ca="1" t="array" ref="S1">MID(CELL("filename",A1),FIND("]",CELL("filename",A1))+1,255)</f>
        <v>SO25-0138</v>
      </c>
      <c r="Z1" t="s">
        <v>81</v>
      </c>
    </row>
    <row r="2" spans="1:26">
      <c r="E2" s="5" t="s">
        <v>149</v>
      </c>
      <c r="F2" s="6"/>
      <c r="I2" s="7">
        <f ca="1">SUM(I3:I18)</f>
        <v>0</v>
      </c>
      <c r="K2" s="2" t="s">
        <v>89</v>
      </c>
      <c r="L2" s="8">
        <v>45658</v>
      </c>
    </row>
    <row r="3" spans="1:26">
      <c r="A3" s="2" t="s">
        <v>90</v>
      </c>
      <c r="B3" s="2"/>
      <c r="C3" s="1" t="str">
        <f ca="1">IFERROR(INDEX('List of customer'!C:C,MATCH($S$1,'List of customer'!$B:$B,0)),"")</f>
        <v>Rent-to-own ice machine</v>
      </c>
      <c r="E3" s="2" t="s">
        <v>91</v>
      </c>
    </row>
    <row r="4" spans="1:26">
      <c r="A4" s="1" t="s">
        <v>92</v>
      </c>
      <c r="C4" s="7">
        <f ca="1">IFERROR(INDEX('List of customer'!N:N,MATCH($S$1,'List of customer'!$B:$B,0)),"")</f>
        <v>5517.6629</v>
      </c>
      <c r="E4" s="1" t="s">
        <v>93</v>
      </c>
      <c r="I4" s="7">
        <f ca="1">$C$39</f>
        <v>10711</v>
      </c>
      <c r="J4" s="9" t="s">
        <v>94</v>
      </c>
    </row>
    <row r="5" spans="1:26">
      <c r="A5" s="1" t="s">
        <v>95</v>
      </c>
      <c r="C5" s="10" t="str">
        <f ca="1">LEFT(IFERROR(INDEX('List of customer'!G:G,MATCH($S$1,'List of customer'!$B:$B,0)),""),2)</f>
        <v>24</v>
      </c>
      <c r="E5" s="11" t="s">
        <v>96</v>
      </c>
      <c r="I5" s="7">
        <f ca="1">-C25</f>
        <v>-7515.02086593636</v>
      </c>
      <c r="J5" s="9" t="s">
        <v>97</v>
      </c>
    </row>
    <row r="6" spans="1:26">
      <c r="A6" s="1" t="s">
        <v>48</v>
      </c>
      <c r="C6" s="12">
        <f ca="1">IFERROR(INDEX('List of customer'!E:E,MATCH($S$1,'List of customer'!$B:$B,0)),"")</f>
        <v>45946</v>
      </c>
      <c r="E6" s="11" t="s">
        <v>98</v>
      </c>
      <c r="I6" s="7">
        <f ca="1">-C26</f>
        <v>-3195.97913406364</v>
      </c>
      <c r="J6" s="9" t="s">
        <v>99</v>
      </c>
    </row>
    <row r="7" spans="1:26">
      <c r="A7" s="1" t="s">
        <v>49</v>
      </c>
      <c r="C7" s="12">
        <f ca="1">IFERROR(INDEX('List of customer'!F:F,MATCH($S$1,'List of customer'!$B:$B,0)),"")</f>
        <v>46675</v>
      </c>
      <c r="J7" s="9"/>
    </row>
    <row r="8" spans="1:26">
      <c r="A8" s="1" t="s">
        <v>100</v>
      </c>
      <c r="C8" s="7">
        <f ca="1">IFERROR(INDEX('List of customer'!J:J,MATCH($S$1,'List of customer'!$B:$B,0)),"")</f>
        <v>639</v>
      </c>
      <c r="E8" s="1" t="s">
        <v>101</v>
      </c>
      <c r="I8" s="7">
        <f ca="1">C32</f>
        <v>5517.6629</v>
      </c>
      <c r="J8" s="9"/>
    </row>
    <row r="9" spans="1:26">
      <c r="A9" s="1" t="s">
        <v>102</v>
      </c>
      <c r="C9" s="7">
        <f ca="1">C17</f>
        <v>10711</v>
      </c>
      <c r="E9" s="11" t="s">
        <v>103</v>
      </c>
      <c r="I9" s="7">
        <f ca="1">-I8</f>
        <v>-5517.6629</v>
      </c>
      <c r="J9" s="9" t="s">
        <v>104</v>
      </c>
    </row>
    <row r="10" spans="1:26">
      <c r="C10" s="13"/>
      <c r="J10" s="9"/>
    </row>
    <row r="11" spans="1:26">
      <c r="A11" s="1" t="s">
        <v>105</v>
      </c>
      <c r="C11" s="10" t="str">
        <f ca="1">IF(C9=0,"No","Yes")</f>
        <v>Yes</v>
      </c>
      <c r="E11" s="2" t="s">
        <v>106</v>
      </c>
      <c r="I11" s="7"/>
      <c r="J11" s="9"/>
    </row>
    <row r="12" spans="1:26">
      <c r="E12" s="1" t="s">
        <v>107</v>
      </c>
      <c r="I12" s="7">
        <f ca="1">-I6/$C$5*COUNTIFS($B$39:$B$74,"&lt;="&amp;$L$1,$E$39:$E$74,"&gt;"&amp;0,$B$39:$B$74,"&gt;="&amp;$L$2)</f>
        <v>399.497391757955</v>
      </c>
      <c r="J12" s="9" t="s">
        <v>108</v>
      </c>
    </row>
    <row r="13" spans="1:26">
      <c r="A13" s="2" t="s">
        <v>109</v>
      </c>
      <c r="E13" s="11" t="s">
        <v>110</v>
      </c>
      <c r="I13" s="7">
        <f ca="1">-I12</f>
        <v>-399.497391757955</v>
      </c>
      <c r="J13" s="9"/>
    </row>
    <row r="14" spans="1:26">
      <c r="A14" s="1" t="s">
        <v>111</v>
      </c>
      <c r="C14" s="7">
        <f ca="1">IFERROR(INDEX('List of customer'!P:P,MATCH($S$1,'List of customer'!$B:$B,0)),"")</f>
        <v>15287</v>
      </c>
      <c r="J14" s="9"/>
    </row>
    <row r="15" spans="1:26">
      <c r="A15" s="1" t="s">
        <v>112</v>
      </c>
      <c r="C15" s="7">
        <f ca="1">IFERROR(INDEX('List of customer'!Q:Q,MATCH($S$1,'List of customer'!$B:$B,0)),"")</f>
        <v>2288</v>
      </c>
      <c r="E15" s="4" t="s">
        <v>113</v>
      </c>
      <c r="F15" s="4"/>
      <c r="G15" s="4"/>
      <c r="I15" s="7">
        <f ca="1">SUMIFS($E$39:$E$74,$B$39:$B$74,"&lt;="&amp;$L$1,$B$39:$B$74,"&gt;="&amp;$L$2)</f>
        <v>1917</v>
      </c>
      <c r="J15" s="9" t="s">
        <v>114</v>
      </c>
    </row>
    <row r="16" spans="1:26">
      <c r="A16" s="1" t="s">
        <v>115</v>
      </c>
      <c r="C16" s="10" t="str">
        <f ca="1">LEFT(IFERROR(INDEX('List of customer'!S:S,MATCH($S$1,'List of customer'!$B:$B,0)),""),1)</f>
        <v>2</v>
      </c>
      <c r="E16" s="11" t="s">
        <v>116</v>
      </c>
      <c r="G16" s="4"/>
      <c r="I16" s="7">
        <f ca="1">-SUMIFS($F$39:$F$74,$B$39:$B$74,"&lt;="&amp;$L$1,$B$39:$B$74,"&gt;="&amp;$L$2)</f>
        <v>-951.078695445043</v>
      </c>
      <c r="J16" s="9" t="s">
        <v>117</v>
      </c>
    </row>
    <row r="17" spans="1:10">
      <c r="A17" s="1" t="s">
        <v>118</v>
      </c>
      <c r="C17" s="7">
        <f ca="1">C14-C15*C16</f>
        <v>10711</v>
      </c>
      <c r="E17" s="11" t="s">
        <v>119</v>
      </c>
      <c r="G17" s="4"/>
      <c r="I17" s="7">
        <f ca="1">-SUMIFS($D$39:$D$74,$B$39:$B$74,"&lt;="&amp;$L$1,$B$39:$B$74,"&gt;="&amp;$L$2)</f>
        <v>-965.921304554957</v>
      </c>
      <c r="J17" s="9" t="s">
        <v>120</v>
      </c>
    </row>
    <row r="18" spans="1:10">
      <c r="E18" s="11"/>
      <c r="I18" s="7"/>
      <c r="J18" s="9"/>
    </row>
    <row r="19" spans="1:10">
      <c r="A19" s="2" t="s">
        <v>121</v>
      </c>
      <c r="I19" s="7"/>
      <c r="J19" s="9"/>
    </row>
    <row r="20" spans="1:10">
      <c r="A20" s="1" t="s">
        <v>122</v>
      </c>
      <c r="C20" s="7">
        <f ca="1">C5*C8</f>
        <v>15336</v>
      </c>
      <c r="J20" s="9"/>
    </row>
    <row r="21" spans="1:10">
      <c r="A21" s="1" t="s">
        <v>123</v>
      </c>
      <c r="C21" s="7">
        <f ca="1">C15*C16</f>
        <v>4576</v>
      </c>
      <c r="D21" s="9" t="s">
        <v>124</v>
      </c>
      <c r="J21" s="9"/>
    </row>
    <row r="22" spans="1:10">
      <c r="A22" s="1" t="s">
        <v>125</v>
      </c>
      <c r="C22" s="7">
        <f ca="1">C20-C21</f>
        <v>10760</v>
      </c>
      <c r="J22" s="9"/>
    </row>
    <row r="23" spans="1:10">
      <c r="E23" s="2"/>
      <c r="I23" s="7"/>
      <c r="J23" s="9"/>
    </row>
    <row r="24" spans="1:10">
      <c r="A24" s="2" t="s">
        <v>126</v>
      </c>
      <c r="C24" s="7"/>
      <c r="I24" s="7"/>
      <c r="J24" s="9"/>
    </row>
    <row r="25" spans="1:10">
      <c r="A25" s="1" t="s">
        <v>127</v>
      </c>
      <c r="C25" s="7">
        <f ca="1">$C$22/$C$20*$C$30</f>
        <v>7515.02086593636</v>
      </c>
      <c r="I25" s="7"/>
      <c r="J25" s="9"/>
    </row>
    <row r="26" spans="1:10">
      <c r="A26" s="1" t="s">
        <v>128</v>
      </c>
      <c r="C26" s="7">
        <f ca="1">$C$21/$C$20*$C$30</f>
        <v>3195.97913406364</v>
      </c>
      <c r="I26" s="7"/>
      <c r="J26" s="9"/>
    </row>
    <row r="27" spans="1:10">
      <c r="I27" s="7"/>
      <c r="J27" s="9"/>
    </row>
    <row r="28" spans="1:10">
      <c r="A28" s="2" t="s">
        <v>129</v>
      </c>
      <c r="B28" s="2"/>
      <c r="I28" s="7"/>
      <c r="J28" s="9"/>
    </row>
    <row r="29" spans="1:10">
      <c r="A29" s="1" t="s">
        <v>130</v>
      </c>
      <c r="C29" s="14">
        <f ca="1">IF(UPPER($C$11)="YES",RATE($C$5,-$C$8,$C$9,0,0),$C$10)</f>
        <v>0.0309577764114425</v>
      </c>
      <c r="I29" s="7"/>
      <c r="J29" s="9"/>
    </row>
    <row r="30" spans="1:10">
      <c r="A30" s="1" t="s">
        <v>132</v>
      </c>
      <c r="C30" s="7">
        <f ca="1">IF(UPPER($C$11)="YES",$C$9,PV($C$29,$C$5,-$C$8,0,0))</f>
        <v>10711</v>
      </c>
      <c r="I30" s="7"/>
      <c r="J30" s="9"/>
    </row>
    <row r="31" spans="1:10">
      <c r="A31" s="1" t="s">
        <v>133</v>
      </c>
      <c r="C31" s="7">
        <f ca="1">C30</f>
        <v>10711</v>
      </c>
      <c r="I31" s="7"/>
      <c r="J31" s="9"/>
    </row>
    <row r="32" spans="1:10">
      <c r="A32" s="1" t="s">
        <v>134</v>
      </c>
      <c r="C32" s="7">
        <f ca="1">IFERROR(INDEX('List of customer'!N:N,MATCH($S$1,'List of customer'!$B:$B,0)),"")</f>
        <v>5517.6629</v>
      </c>
      <c r="I32" s="7"/>
      <c r="J32" s="9"/>
    </row>
    <row r="33" spans="1:16">
      <c r="A33" s="1" t="s">
        <v>135</v>
      </c>
      <c r="C33" s="7">
        <f ca="1">C31-C32</f>
        <v>5193.3371</v>
      </c>
      <c r="I33" s="7"/>
      <c r="J33" s="9"/>
    </row>
    <row r="37" spans="1:16">
      <c r="A37" s="2" t="s">
        <v>136</v>
      </c>
      <c r="I37" s="2"/>
    </row>
    <row r="38" spans="1:16">
      <c r="A38" s="2" t="s">
        <v>139</v>
      </c>
      <c r="B38" s="2" t="s">
        <v>140</v>
      </c>
      <c r="C38" s="2" t="s">
        <v>141</v>
      </c>
      <c r="D38" s="2" t="s">
        <v>142</v>
      </c>
      <c r="E38" s="2" t="s">
        <v>143</v>
      </c>
      <c r="F38" s="2" t="s">
        <v>144</v>
      </c>
      <c r="G38" s="2" t="s">
        <v>145</v>
      </c>
      <c r="I38" s="2"/>
      <c r="J38" s="2"/>
      <c r="K38" s="2"/>
      <c r="L38" s="2"/>
      <c r="M38" s="2"/>
      <c r="O38" s="2"/>
      <c r="P38" s="2"/>
    </row>
    <row r="39" spans="1:16">
      <c r="A39" s="15">
        <v>1</v>
      </c>
      <c r="B39" s="16">
        <f ca="1">$C$6</f>
        <v>45946</v>
      </c>
      <c r="C39" s="7">
        <f ca="1">C30</f>
        <v>10711</v>
      </c>
      <c r="D39" s="7">
        <f ca="1" t="shared" ref="D39:D74" si="0">C39*$C$29</f>
        <v>331.588743142961</v>
      </c>
      <c r="E39" s="7">
        <f ca="1" t="shared" ref="E39:E74" si="1">IF(C39&lt;=1,0,$C$8)</f>
        <v>639</v>
      </c>
      <c r="F39" s="7">
        <f ca="1" t="shared" ref="F39:F74" si="2">E39-D39</f>
        <v>307.411256857039</v>
      </c>
      <c r="G39" s="7">
        <f ca="1" t="shared" ref="G39:G74" si="3">C39-F39</f>
        <v>10403.588743143</v>
      </c>
      <c r="I39" s="7"/>
      <c r="J39" s="7"/>
      <c r="K39" s="7"/>
      <c r="L39" s="7"/>
      <c r="M39" s="7"/>
      <c r="O39" s="7"/>
      <c r="P39" s="7"/>
    </row>
    <row r="40" spans="1:16">
      <c r="A40" s="15">
        <v>2</v>
      </c>
      <c r="B40" s="16">
        <f ca="1" t="shared" ref="B40:B74" si="4">EDATE(B39,1)</f>
        <v>45977</v>
      </c>
      <c r="C40" s="7">
        <f ca="1" t="shared" ref="C40:C74" si="5">IF(G39&lt;=0,0,G39)</f>
        <v>10403.588743143</v>
      </c>
      <c r="D40" s="7">
        <f ca="1" t="shared" si="0"/>
        <v>322.07197418682</v>
      </c>
      <c r="E40" s="7">
        <f ca="1" t="shared" si="1"/>
        <v>639</v>
      </c>
      <c r="F40" s="7">
        <f ca="1" t="shared" si="2"/>
        <v>316.92802581318</v>
      </c>
      <c r="G40" s="7">
        <f ca="1" t="shared" si="3"/>
        <v>10086.6607173298</v>
      </c>
      <c r="I40" s="7"/>
      <c r="J40" s="7"/>
      <c r="K40" s="7"/>
      <c r="L40" s="7"/>
      <c r="M40" s="7"/>
      <c r="O40" s="7"/>
      <c r="P40" s="7"/>
    </row>
    <row r="41" spans="1:16">
      <c r="A41" s="15">
        <v>3</v>
      </c>
      <c r="B41" s="16">
        <f ca="1" t="shared" si="4"/>
        <v>46007</v>
      </c>
      <c r="C41" s="7">
        <f ca="1" t="shared" si="5"/>
        <v>10086.6607173298</v>
      </c>
      <c r="D41" s="7">
        <f ca="1" t="shared" si="0"/>
        <v>312.260587225176</v>
      </c>
      <c r="E41" s="7">
        <f ca="1" t="shared" si="1"/>
        <v>639</v>
      </c>
      <c r="F41" s="7">
        <f ca="1" t="shared" si="2"/>
        <v>326.739412774824</v>
      </c>
      <c r="G41" s="7">
        <f ca="1" t="shared" si="3"/>
        <v>9759.92130455496</v>
      </c>
      <c r="I41" s="7"/>
      <c r="J41" s="7"/>
      <c r="K41" s="7"/>
      <c r="L41" s="7"/>
      <c r="M41" s="7"/>
      <c r="O41" s="7"/>
      <c r="P41" s="7"/>
    </row>
    <row r="42" spans="1:16">
      <c r="A42" s="15">
        <v>4</v>
      </c>
      <c r="B42" s="16">
        <f ca="1" t="shared" si="4"/>
        <v>46038</v>
      </c>
      <c r="C42" s="7">
        <f ca="1" t="shared" si="5"/>
        <v>9759.92130455496</v>
      </c>
      <c r="D42" s="7">
        <f ca="1" t="shared" si="0"/>
        <v>302.145461539687</v>
      </c>
      <c r="E42" s="7">
        <f ca="1" t="shared" si="1"/>
        <v>639</v>
      </c>
      <c r="F42" s="7">
        <f ca="1" t="shared" si="2"/>
        <v>336.854538460313</v>
      </c>
      <c r="G42" s="7">
        <f ca="1" t="shared" si="3"/>
        <v>9423.06676609464</v>
      </c>
      <c r="I42" s="7"/>
      <c r="J42" s="7"/>
      <c r="K42" s="7"/>
      <c r="L42" s="7"/>
      <c r="M42" s="7"/>
      <c r="O42" s="7"/>
      <c r="P42" s="7"/>
    </row>
    <row r="43" spans="1:16">
      <c r="A43" s="15">
        <v>5</v>
      </c>
      <c r="B43" s="16">
        <f ca="1" t="shared" si="4"/>
        <v>46069</v>
      </c>
      <c r="C43" s="7">
        <f ca="1" t="shared" si="5"/>
        <v>9423.06676609464</v>
      </c>
      <c r="D43" s="7">
        <f ca="1" t="shared" si="0"/>
        <v>291.717194054853</v>
      </c>
      <c r="E43" s="7">
        <f ca="1" t="shared" si="1"/>
        <v>639</v>
      </c>
      <c r="F43" s="7">
        <f ca="1" t="shared" si="2"/>
        <v>347.282805945147</v>
      </c>
      <c r="G43" s="7">
        <f ca="1" t="shared" si="3"/>
        <v>9075.7839601495</v>
      </c>
      <c r="I43" s="7"/>
      <c r="J43" s="7"/>
      <c r="K43" s="7"/>
      <c r="L43" s="7"/>
      <c r="M43" s="7"/>
      <c r="O43" s="7"/>
      <c r="P43" s="7"/>
    </row>
    <row r="44" spans="1:16">
      <c r="A44" s="15">
        <v>6</v>
      </c>
      <c r="B44" s="16">
        <f ca="1" t="shared" si="4"/>
        <v>46097</v>
      </c>
      <c r="C44" s="7">
        <f ca="1" t="shared" si="5"/>
        <v>9075.7839601495</v>
      </c>
      <c r="D44" s="7">
        <f ca="1" t="shared" si="0"/>
        <v>280.966090596865</v>
      </c>
      <c r="E44" s="7">
        <f ca="1" t="shared" si="1"/>
        <v>639</v>
      </c>
      <c r="F44" s="7">
        <f ca="1" t="shared" si="2"/>
        <v>358.033909403135</v>
      </c>
      <c r="G44" s="7">
        <f ca="1" t="shared" si="3"/>
        <v>8717.75005074636</v>
      </c>
      <c r="I44" s="7"/>
      <c r="J44" s="7"/>
      <c r="K44" s="7"/>
      <c r="L44" s="7"/>
      <c r="M44" s="7"/>
      <c r="O44" s="7"/>
      <c r="P44" s="7"/>
    </row>
    <row r="45" spans="1:16">
      <c r="A45" s="15">
        <v>7</v>
      </c>
      <c r="B45" s="16">
        <f ca="1" t="shared" si="4"/>
        <v>46128</v>
      </c>
      <c r="C45" s="7">
        <f ca="1" t="shared" si="5"/>
        <v>8717.75005074636</v>
      </c>
      <c r="D45" s="7">
        <f ca="1" t="shared" si="0"/>
        <v>269.882156881848</v>
      </c>
      <c r="E45" s="7">
        <f ca="1" t="shared" si="1"/>
        <v>639</v>
      </c>
      <c r="F45" s="7">
        <f ca="1" t="shared" si="2"/>
        <v>369.117843118152</v>
      </c>
      <c r="G45" s="7">
        <f ca="1" t="shared" si="3"/>
        <v>8348.63220762821</v>
      </c>
      <c r="I45" s="7"/>
      <c r="J45" s="7"/>
      <c r="K45" s="7"/>
      <c r="L45" s="7"/>
      <c r="M45" s="7"/>
      <c r="O45" s="7"/>
      <c r="P45" s="7"/>
    </row>
    <row r="46" spans="1:16">
      <c r="A46" s="15">
        <v>8</v>
      </c>
      <c r="B46" s="16">
        <f ca="1" t="shared" si="4"/>
        <v>46158</v>
      </c>
      <c r="C46" s="7">
        <f ca="1" t="shared" si="5"/>
        <v>8348.63220762821</v>
      </c>
      <c r="D46" s="7">
        <f ca="1" t="shared" si="0"/>
        <v>258.455089225122</v>
      </c>
      <c r="E46" s="7">
        <f ca="1" t="shared" si="1"/>
        <v>639</v>
      </c>
      <c r="F46" s="7">
        <f ca="1" t="shared" si="2"/>
        <v>380.544910774878</v>
      </c>
      <c r="G46" s="7">
        <f ca="1" t="shared" si="3"/>
        <v>7968.08729685333</v>
      </c>
      <c r="I46" s="7"/>
      <c r="J46" s="7"/>
      <c r="K46" s="7"/>
      <c r="L46" s="7"/>
      <c r="M46" s="7"/>
      <c r="O46" s="7"/>
      <c r="P46" s="7"/>
    </row>
    <row r="47" spans="1:16">
      <c r="A47" s="15">
        <v>9</v>
      </c>
      <c r="B47" s="16">
        <f ca="1" t="shared" si="4"/>
        <v>46189</v>
      </c>
      <c r="C47" s="7">
        <f ca="1" t="shared" si="5"/>
        <v>7968.08729685333</v>
      </c>
      <c r="D47" s="7">
        <f ca="1" t="shared" si="0"/>
        <v>246.674264962841</v>
      </c>
      <c r="E47" s="7">
        <f ca="1" t="shared" si="1"/>
        <v>639</v>
      </c>
      <c r="F47" s="7">
        <f ca="1" t="shared" si="2"/>
        <v>392.325735037159</v>
      </c>
      <c r="G47" s="7">
        <f ca="1" t="shared" si="3"/>
        <v>7575.76156181617</v>
      </c>
      <c r="I47" s="7"/>
      <c r="J47" s="7"/>
      <c r="K47" s="7"/>
      <c r="L47" s="7"/>
      <c r="M47" s="7"/>
      <c r="O47" s="7"/>
      <c r="P47" s="7"/>
    </row>
    <row r="48" spans="1:16">
      <c r="A48" s="15">
        <v>10</v>
      </c>
      <c r="B48" s="16">
        <f ca="1" t="shared" si="4"/>
        <v>46219</v>
      </c>
      <c r="C48" s="7">
        <f ca="1" t="shared" si="5"/>
        <v>7575.76156181617</v>
      </c>
      <c r="D48" s="7">
        <f ca="1" t="shared" si="0"/>
        <v>234.528732577106</v>
      </c>
      <c r="E48" s="7">
        <f ca="1" t="shared" si="1"/>
        <v>639</v>
      </c>
      <c r="F48" s="7">
        <f ca="1" t="shared" si="2"/>
        <v>404.471267422894</v>
      </c>
      <c r="G48" s="7">
        <f ca="1" t="shared" si="3"/>
        <v>7171.29029439328</v>
      </c>
      <c r="I48" s="7"/>
      <c r="J48" s="7"/>
      <c r="K48" s="7"/>
      <c r="L48" s="7"/>
      <c r="M48" s="7"/>
      <c r="O48" s="7"/>
      <c r="P48" s="7"/>
    </row>
    <row r="49" spans="1:16">
      <c r="A49" s="15">
        <v>11</v>
      </c>
      <c r="B49" s="16">
        <f ca="1" t="shared" si="4"/>
        <v>46250</v>
      </c>
      <c r="C49" s="7">
        <f ca="1" t="shared" si="5"/>
        <v>7171.29029439328</v>
      </c>
      <c r="D49" s="7">
        <f ca="1" t="shared" si="0"/>
        <v>222.007201515375</v>
      </c>
      <c r="E49" s="7">
        <f ca="1" t="shared" si="1"/>
        <v>639</v>
      </c>
      <c r="F49" s="7">
        <f ca="1" t="shared" si="2"/>
        <v>416.992798484625</v>
      </c>
      <c r="G49" s="7">
        <f ca="1" t="shared" si="3"/>
        <v>6754.29749590865</v>
      </c>
      <c r="I49" s="7"/>
      <c r="J49" s="7"/>
      <c r="K49" s="7"/>
      <c r="L49" s="7"/>
      <c r="M49" s="7"/>
      <c r="O49" s="7"/>
      <c r="P49" s="7"/>
    </row>
    <row r="50" spans="1:16">
      <c r="A50" s="15">
        <v>12</v>
      </c>
      <c r="B50" s="16">
        <f ca="1" t="shared" si="4"/>
        <v>46281</v>
      </c>
      <c r="C50" s="7">
        <f ca="1" t="shared" si="5"/>
        <v>6754.29749590865</v>
      </c>
      <c r="D50" s="7">
        <f ca="1" t="shared" si="0"/>
        <v>209.098031694706</v>
      </c>
      <c r="E50" s="7">
        <f ca="1" t="shared" si="1"/>
        <v>639</v>
      </c>
      <c r="F50" s="7">
        <f ca="1" t="shared" si="2"/>
        <v>429.901968305294</v>
      </c>
      <c r="G50" s="7">
        <f ca="1" t="shared" si="3"/>
        <v>6324.39552760336</v>
      </c>
      <c r="I50" s="7"/>
      <c r="J50" s="7"/>
      <c r="K50" s="7"/>
      <c r="L50" s="7"/>
      <c r="M50" s="7"/>
      <c r="O50" s="7"/>
      <c r="P50" s="7"/>
    </row>
    <row r="51" spans="1:16">
      <c r="A51" s="15">
        <v>13</v>
      </c>
      <c r="B51" s="16">
        <f ca="1" t="shared" si="4"/>
        <v>46311</v>
      </c>
      <c r="C51" s="7">
        <f ca="1" t="shared" si="5"/>
        <v>6324.39552760336</v>
      </c>
      <c r="D51" s="7">
        <f ca="1" t="shared" si="0"/>
        <v>195.789222681072</v>
      </c>
      <c r="E51" s="7">
        <f ca="1" t="shared" si="1"/>
        <v>639</v>
      </c>
      <c r="F51" s="7">
        <f ca="1" t="shared" si="2"/>
        <v>443.210777318928</v>
      </c>
      <c r="G51" s="7">
        <f ca="1" t="shared" si="3"/>
        <v>5881.18475028443</v>
      </c>
      <c r="I51" s="7"/>
      <c r="J51" s="7"/>
      <c r="K51" s="7"/>
      <c r="L51" s="7"/>
      <c r="M51" s="7"/>
      <c r="O51" s="7"/>
      <c r="P51" s="7"/>
    </row>
    <row r="52" spans="1:16">
      <c r="A52" s="15">
        <v>14</v>
      </c>
      <c r="B52" s="16">
        <f ca="1" t="shared" si="4"/>
        <v>46342</v>
      </c>
      <c r="C52" s="7">
        <f ca="1" t="shared" si="5"/>
        <v>5881.18475028443</v>
      </c>
      <c r="D52" s="7">
        <f ca="1" t="shared" si="0"/>
        <v>182.068402533691</v>
      </c>
      <c r="E52" s="7">
        <f ca="1" t="shared" si="1"/>
        <v>639</v>
      </c>
      <c r="F52" s="7">
        <f ca="1" t="shared" si="2"/>
        <v>456.931597466309</v>
      </c>
      <c r="G52" s="7">
        <f ca="1" t="shared" si="3"/>
        <v>5424.25315281812</v>
      </c>
      <c r="I52" s="7"/>
      <c r="J52" s="7"/>
      <c r="K52" s="7"/>
      <c r="L52" s="7"/>
      <c r="M52" s="7"/>
      <c r="O52" s="7"/>
      <c r="P52" s="7"/>
    </row>
    <row r="53" spans="1:16">
      <c r="A53" s="15">
        <v>15</v>
      </c>
      <c r="B53" s="16">
        <f ca="1" t="shared" si="4"/>
        <v>46372</v>
      </c>
      <c r="C53" s="7">
        <f ca="1" t="shared" si="5"/>
        <v>5424.25315281812</v>
      </c>
      <c r="D53" s="7">
        <f ca="1" t="shared" si="0"/>
        <v>167.922816304006</v>
      </c>
      <c r="E53" s="7">
        <f ca="1" t="shared" si="1"/>
        <v>639</v>
      </c>
      <c r="F53" s="7">
        <f ca="1" t="shared" si="2"/>
        <v>471.077183695994</v>
      </c>
      <c r="G53" s="7">
        <f ca="1" t="shared" si="3"/>
        <v>4953.17596912213</v>
      </c>
      <c r="I53" s="7"/>
      <c r="J53" s="7"/>
      <c r="K53" s="7"/>
      <c r="L53" s="7"/>
      <c r="M53" s="7"/>
      <c r="O53" s="7"/>
      <c r="P53" s="7"/>
    </row>
    <row r="54" spans="1:16">
      <c r="A54" s="15">
        <v>16</v>
      </c>
      <c r="B54" s="16">
        <f ca="1" t="shared" si="4"/>
        <v>46403</v>
      </c>
      <c r="C54" s="7">
        <f ca="1" t="shared" si="5"/>
        <v>4953.17596912213</v>
      </c>
      <c r="D54" s="7">
        <f ca="1" t="shared" si="0"/>
        <v>153.339314178613</v>
      </c>
      <c r="E54" s="7">
        <f ca="1" t="shared" si="1"/>
        <v>639</v>
      </c>
      <c r="F54" s="7">
        <f ca="1" t="shared" si="2"/>
        <v>485.660685821387</v>
      </c>
      <c r="G54" s="7">
        <f ca="1" t="shared" si="3"/>
        <v>4467.51528330074</v>
      </c>
      <c r="I54" s="7"/>
      <c r="J54" s="7"/>
      <c r="K54" s="7"/>
      <c r="L54" s="7"/>
      <c r="M54" s="7"/>
      <c r="O54" s="7"/>
      <c r="P54" s="7"/>
    </row>
    <row r="55" spans="1:16">
      <c r="A55" s="15">
        <v>17</v>
      </c>
      <c r="B55" s="16">
        <f ca="1" t="shared" si="4"/>
        <v>46434</v>
      </c>
      <c r="C55" s="7">
        <f ca="1" t="shared" si="5"/>
        <v>4467.51528330074</v>
      </c>
      <c r="D55" s="7">
        <f ca="1" t="shared" si="0"/>
        <v>138.304339255127</v>
      </c>
      <c r="E55" s="7">
        <f ca="1" t="shared" si="1"/>
        <v>639</v>
      </c>
      <c r="F55" s="7">
        <f ca="1" t="shared" si="2"/>
        <v>500.695660744873</v>
      </c>
      <c r="G55" s="7">
        <f ca="1" t="shared" si="3"/>
        <v>3966.81962255587</v>
      </c>
      <c r="I55" s="7"/>
      <c r="J55" s="7"/>
      <c r="K55" s="7"/>
      <c r="L55" s="7"/>
      <c r="M55" s="7"/>
      <c r="O55" s="7"/>
      <c r="P55" s="7"/>
    </row>
    <row r="56" spans="1:16">
      <c r="A56" s="15">
        <v>18</v>
      </c>
      <c r="B56" s="16">
        <f ca="1" t="shared" si="4"/>
        <v>46462</v>
      </c>
      <c r="C56" s="7">
        <f ca="1" t="shared" si="5"/>
        <v>3966.81962255587</v>
      </c>
      <c r="D56" s="7">
        <f ca="1" t="shared" si="0"/>
        <v>122.803914939607</v>
      </c>
      <c r="E56" s="7">
        <f ca="1" t="shared" si="1"/>
        <v>639</v>
      </c>
      <c r="F56" s="7">
        <f ca="1" t="shared" si="2"/>
        <v>516.196085060393</v>
      </c>
      <c r="G56" s="7">
        <f ca="1" t="shared" si="3"/>
        <v>3450.62353749548</v>
      </c>
      <c r="I56" s="7"/>
      <c r="J56" s="7"/>
      <c r="K56" s="7"/>
      <c r="L56" s="7"/>
      <c r="M56" s="7"/>
      <c r="O56" s="7"/>
      <c r="P56" s="7"/>
    </row>
    <row r="57" spans="1:16">
      <c r="A57" s="15">
        <v>19</v>
      </c>
      <c r="B57" s="16">
        <f ca="1" t="shared" si="4"/>
        <v>46493</v>
      </c>
      <c r="C57" s="7">
        <f ca="1" t="shared" si="5"/>
        <v>3450.62353749548</v>
      </c>
      <c r="D57" s="7">
        <f ca="1" t="shared" si="0"/>
        <v>106.823631953846</v>
      </c>
      <c r="E57" s="7">
        <f ca="1" t="shared" si="1"/>
        <v>639</v>
      </c>
      <c r="F57" s="7">
        <f ca="1" t="shared" si="2"/>
        <v>532.176368046154</v>
      </c>
      <c r="G57" s="7">
        <f ca="1" t="shared" si="3"/>
        <v>2918.44716944932</v>
      </c>
      <c r="I57" s="7"/>
      <c r="J57" s="7"/>
      <c r="K57" s="7"/>
      <c r="L57" s="7"/>
      <c r="M57" s="7"/>
      <c r="O57" s="7"/>
      <c r="P57" s="7"/>
    </row>
    <row r="58" spans="1:16">
      <c r="A58" s="15">
        <v>20</v>
      </c>
      <c r="B58" s="16">
        <f ca="1" t="shared" si="4"/>
        <v>46523</v>
      </c>
      <c r="C58" s="7">
        <f ca="1" t="shared" si="5"/>
        <v>2918.44716944932</v>
      </c>
      <c r="D58" s="7">
        <f ca="1" t="shared" si="0"/>
        <v>90.3486349404195</v>
      </c>
      <c r="E58" s="7">
        <f ca="1" t="shared" si="1"/>
        <v>639</v>
      </c>
      <c r="F58" s="7">
        <f ca="1" t="shared" si="2"/>
        <v>548.65136505958</v>
      </c>
      <c r="G58" s="7">
        <f ca="1" t="shared" si="3"/>
        <v>2369.79580438974</v>
      </c>
      <c r="I58" s="7"/>
      <c r="J58" s="7"/>
      <c r="K58" s="7"/>
      <c r="L58" s="7"/>
      <c r="M58" s="7"/>
      <c r="O58" s="7"/>
      <c r="P58" s="7"/>
    </row>
    <row r="59" spans="1:16">
      <c r="A59" s="15">
        <v>21</v>
      </c>
      <c r="B59" s="16">
        <f ca="1" t="shared" si="4"/>
        <v>46554</v>
      </c>
      <c r="C59" s="7">
        <f ca="1" t="shared" si="5"/>
        <v>2369.79580438974</v>
      </c>
      <c r="D59" s="7">
        <f ca="1" t="shared" si="0"/>
        <v>73.3636086530722</v>
      </c>
      <c r="E59" s="7">
        <f ca="1" t="shared" si="1"/>
        <v>639</v>
      </c>
      <c r="F59" s="7">
        <f ca="1" t="shared" si="2"/>
        <v>565.636391346928</v>
      </c>
      <c r="G59" s="7">
        <f ca="1" t="shared" si="3"/>
        <v>1804.15941304281</v>
      </c>
      <c r="I59" s="7"/>
      <c r="J59" s="7"/>
      <c r="K59" s="7"/>
      <c r="L59" s="7"/>
      <c r="M59" s="7"/>
      <c r="O59" s="7"/>
      <c r="P59" s="7"/>
    </row>
    <row r="60" spans="1:16">
      <c r="A60" s="15">
        <v>22</v>
      </c>
      <c r="B60" s="16">
        <f ca="1" t="shared" si="4"/>
        <v>46584</v>
      </c>
      <c r="C60" s="7">
        <f ca="1" t="shared" si="5"/>
        <v>1804.15941304281</v>
      </c>
      <c r="D60" s="7">
        <f ca="1" t="shared" si="0"/>
        <v>55.8527637195789</v>
      </c>
      <c r="E60" s="7">
        <f ca="1" t="shared" si="1"/>
        <v>639</v>
      </c>
      <c r="F60" s="7">
        <f ca="1" t="shared" si="2"/>
        <v>583.147236280421</v>
      </c>
      <c r="G60" s="7">
        <f ca="1" t="shared" si="3"/>
        <v>1221.01217676239</v>
      </c>
      <c r="I60" s="7"/>
      <c r="J60" s="7"/>
      <c r="K60" s="7"/>
      <c r="L60" s="7"/>
      <c r="M60" s="7"/>
      <c r="O60" s="7"/>
      <c r="P60" s="7"/>
    </row>
    <row r="61" spans="1:16">
      <c r="A61" s="15">
        <v>23</v>
      </c>
      <c r="B61" s="16">
        <f ca="1" t="shared" si="4"/>
        <v>46615</v>
      </c>
      <c r="C61" s="7">
        <f ca="1" t="shared" si="5"/>
        <v>1221.01217676239</v>
      </c>
      <c r="D61" s="7">
        <f ca="1" t="shared" si="0"/>
        <v>37.7998219638589</v>
      </c>
      <c r="E61" s="7">
        <f ca="1" t="shared" si="1"/>
        <v>639</v>
      </c>
      <c r="F61" s="7">
        <f ca="1" t="shared" si="2"/>
        <v>601.200178036141</v>
      </c>
      <c r="G61" s="7">
        <f ca="1" t="shared" si="3"/>
        <v>619.811998726252</v>
      </c>
      <c r="I61" s="7"/>
      <c r="J61" s="7"/>
      <c r="K61" s="7"/>
      <c r="L61" s="7"/>
      <c r="M61" s="7"/>
      <c r="O61" s="7"/>
      <c r="P61" s="7"/>
    </row>
    <row r="62" spans="1:16">
      <c r="A62" s="15">
        <v>24</v>
      </c>
      <c r="B62" s="16">
        <f ca="1" t="shared" si="4"/>
        <v>46646</v>
      </c>
      <c r="C62" s="7">
        <f ca="1" t="shared" si="5"/>
        <v>619.811998726252</v>
      </c>
      <c r="D62" s="7">
        <f ca="1" t="shared" si="0"/>
        <v>19.1880012736966</v>
      </c>
      <c r="E62" s="7">
        <f ca="1" t="shared" si="1"/>
        <v>639</v>
      </c>
      <c r="F62" s="7">
        <f ca="1" t="shared" si="2"/>
        <v>619.811998726303</v>
      </c>
      <c r="G62" s="7">
        <f ca="1" t="shared" si="3"/>
        <v>-5.17275111633353e-11</v>
      </c>
      <c r="I62" s="7"/>
      <c r="J62" s="7"/>
      <c r="K62" s="7"/>
      <c r="L62" s="7"/>
      <c r="M62" s="7"/>
      <c r="O62" s="7"/>
      <c r="P62" s="7"/>
    </row>
    <row r="63" spans="1:16">
      <c r="A63" s="15">
        <v>25</v>
      </c>
      <c r="B63" s="16">
        <f ca="1" t="shared" si="4"/>
        <v>46676</v>
      </c>
      <c r="C63" s="7">
        <f ca="1" t="shared" si="5"/>
        <v>0</v>
      </c>
      <c r="D63" s="7">
        <f ca="1" t="shared" si="0"/>
        <v>0</v>
      </c>
      <c r="E63" s="7">
        <f ca="1" t="shared" si="1"/>
        <v>0</v>
      </c>
      <c r="F63" s="7">
        <f ca="1" t="shared" si="2"/>
        <v>0</v>
      </c>
      <c r="G63" s="7">
        <f ca="1" t="shared" si="3"/>
        <v>0</v>
      </c>
      <c r="I63" s="7"/>
      <c r="J63" s="7"/>
      <c r="K63" s="7"/>
      <c r="L63" s="7"/>
      <c r="M63" s="7"/>
      <c r="O63" s="7"/>
      <c r="P63" s="7"/>
    </row>
    <row r="64" spans="1:16">
      <c r="A64" s="15">
        <v>26</v>
      </c>
      <c r="B64" s="16">
        <f ca="1" t="shared" si="4"/>
        <v>46707</v>
      </c>
      <c r="C64" s="7">
        <f ca="1" t="shared" si="5"/>
        <v>0</v>
      </c>
      <c r="D64" s="7">
        <f ca="1" t="shared" si="0"/>
        <v>0</v>
      </c>
      <c r="E64" s="7">
        <f ca="1" t="shared" si="1"/>
        <v>0</v>
      </c>
      <c r="F64" s="7">
        <f ca="1" t="shared" si="2"/>
        <v>0</v>
      </c>
      <c r="G64" s="7">
        <f ca="1" t="shared" si="3"/>
        <v>0</v>
      </c>
      <c r="I64" s="7"/>
      <c r="J64" s="7"/>
      <c r="K64" s="7"/>
      <c r="L64" s="7"/>
      <c r="M64" s="7"/>
      <c r="O64" s="7"/>
      <c r="P64" s="7"/>
    </row>
    <row r="65" spans="1:16">
      <c r="A65" s="15">
        <v>27</v>
      </c>
      <c r="B65" s="16">
        <f ca="1" t="shared" si="4"/>
        <v>46737</v>
      </c>
      <c r="C65" s="7">
        <f ca="1" t="shared" si="5"/>
        <v>0</v>
      </c>
      <c r="D65" s="7">
        <f ca="1" t="shared" si="0"/>
        <v>0</v>
      </c>
      <c r="E65" s="7">
        <f ca="1" t="shared" si="1"/>
        <v>0</v>
      </c>
      <c r="F65" s="7">
        <f ca="1" t="shared" si="2"/>
        <v>0</v>
      </c>
      <c r="G65" s="7">
        <f ca="1" t="shared" si="3"/>
        <v>0</v>
      </c>
      <c r="I65" s="7"/>
      <c r="J65" s="7"/>
      <c r="K65" s="7"/>
      <c r="L65" s="7"/>
      <c r="M65" s="7"/>
      <c r="O65" s="7"/>
      <c r="P65" s="7"/>
    </row>
    <row r="66" spans="1:16">
      <c r="A66" s="15">
        <v>28</v>
      </c>
      <c r="B66" s="16">
        <f ca="1" t="shared" si="4"/>
        <v>46768</v>
      </c>
      <c r="C66" s="7">
        <f ca="1" t="shared" si="5"/>
        <v>0</v>
      </c>
      <c r="D66" s="7">
        <f ca="1" t="shared" si="0"/>
        <v>0</v>
      </c>
      <c r="E66" s="7">
        <f ca="1" t="shared" si="1"/>
        <v>0</v>
      </c>
      <c r="F66" s="7">
        <f ca="1" t="shared" si="2"/>
        <v>0</v>
      </c>
      <c r="G66" s="7">
        <f ca="1" t="shared" si="3"/>
        <v>0</v>
      </c>
      <c r="I66" s="7"/>
      <c r="J66" s="7"/>
      <c r="K66" s="7"/>
      <c r="L66" s="7"/>
      <c r="M66" s="7"/>
      <c r="O66" s="7"/>
      <c r="P66" s="7"/>
    </row>
    <row r="67" spans="1:16">
      <c r="A67" s="15">
        <v>29</v>
      </c>
      <c r="B67" s="16">
        <f ca="1" t="shared" si="4"/>
        <v>46799</v>
      </c>
      <c r="C67" s="7">
        <f ca="1" t="shared" si="5"/>
        <v>0</v>
      </c>
      <c r="D67" s="7">
        <f ca="1" t="shared" si="0"/>
        <v>0</v>
      </c>
      <c r="E67" s="7">
        <f ca="1" t="shared" si="1"/>
        <v>0</v>
      </c>
      <c r="F67" s="7">
        <f ca="1" t="shared" si="2"/>
        <v>0</v>
      </c>
      <c r="G67" s="7">
        <f ca="1" t="shared" si="3"/>
        <v>0</v>
      </c>
      <c r="I67" s="7"/>
      <c r="J67" s="7"/>
      <c r="K67" s="7"/>
      <c r="L67" s="7"/>
      <c r="M67" s="7"/>
      <c r="O67" s="7"/>
      <c r="P67" s="7"/>
    </row>
    <row r="68" spans="1:16">
      <c r="A68" s="15">
        <v>30</v>
      </c>
      <c r="B68" s="16">
        <f ca="1" t="shared" si="4"/>
        <v>46828</v>
      </c>
      <c r="C68" s="7">
        <f ca="1" t="shared" si="5"/>
        <v>0</v>
      </c>
      <c r="D68" s="7">
        <f ca="1" t="shared" si="0"/>
        <v>0</v>
      </c>
      <c r="E68" s="7">
        <f ca="1" t="shared" si="1"/>
        <v>0</v>
      </c>
      <c r="F68" s="7">
        <f ca="1" t="shared" si="2"/>
        <v>0</v>
      </c>
      <c r="G68" s="7">
        <f ca="1" t="shared" si="3"/>
        <v>0</v>
      </c>
      <c r="I68" s="7"/>
      <c r="J68" s="7"/>
      <c r="K68" s="7"/>
      <c r="L68" s="7"/>
      <c r="M68" s="7"/>
      <c r="O68" s="7"/>
      <c r="P68" s="7"/>
    </row>
    <row r="69" spans="1:16">
      <c r="A69" s="15">
        <v>31</v>
      </c>
      <c r="B69" s="16">
        <f ca="1" t="shared" si="4"/>
        <v>46859</v>
      </c>
      <c r="C69" s="7">
        <f ca="1" t="shared" si="5"/>
        <v>0</v>
      </c>
      <c r="D69" s="7">
        <f ca="1" t="shared" si="0"/>
        <v>0</v>
      </c>
      <c r="E69" s="7">
        <f ca="1" t="shared" si="1"/>
        <v>0</v>
      </c>
      <c r="F69" s="7">
        <f ca="1" t="shared" si="2"/>
        <v>0</v>
      </c>
      <c r="G69" s="7">
        <f ca="1" t="shared" si="3"/>
        <v>0</v>
      </c>
      <c r="I69" s="7"/>
      <c r="J69" s="7"/>
      <c r="K69" s="7"/>
      <c r="L69" s="7"/>
      <c r="M69" s="7"/>
      <c r="O69" s="7"/>
      <c r="P69" s="7"/>
    </row>
    <row r="70" spans="1:16">
      <c r="A70" s="15">
        <v>32</v>
      </c>
      <c r="B70" s="16">
        <f ca="1" t="shared" si="4"/>
        <v>46889</v>
      </c>
      <c r="C70" s="7">
        <f ca="1" t="shared" si="5"/>
        <v>0</v>
      </c>
      <c r="D70" s="7">
        <f ca="1" t="shared" si="0"/>
        <v>0</v>
      </c>
      <c r="E70" s="7">
        <f ca="1" t="shared" si="1"/>
        <v>0</v>
      </c>
      <c r="F70" s="7">
        <f ca="1" t="shared" si="2"/>
        <v>0</v>
      </c>
      <c r="G70" s="7">
        <f ca="1" t="shared" si="3"/>
        <v>0</v>
      </c>
      <c r="I70" s="7"/>
      <c r="J70" s="7"/>
      <c r="K70" s="7"/>
      <c r="L70" s="7"/>
      <c r="M70" s="7"/>
      <c r="O70" s="7"/>
      <c r="P70" s="7"/>
    </row>
    <row r="71" spans="1:16">
      <c r="A71" s="15">
        <v>33</v>
      </c>
      <c r="B71" s="16">
        <f ca="1" t="shared" si="4"/>
        <v>46920</v>
      </c>
      <c r="C71" s="7">
        <f ca="1" t="shared" si="5"/>
        <v>0</v>
      </c>
      <c r="D71" s="7">
        <f ca="1" t="shared" si="0"/>
        <v>0</v>
      </c>
      <c r="E71" s="7">
        <f ca="1" t="shared" si="1"/>
        <v>0</v>
      </c>
      <c r="F71" s="7">
        <f ca="1" t="shared" si="2"/>
        <v>0</v>
      </c>
      <c r="G71" s="7">
        <f ca="1" t="shared" si="3"/>
        <v>0</v>
      </c>
      <c r="I71" s="7"/>
      <c r="J71" s="7"/>
      <c r="K71" s="7"/>
      <c r="L71" s="7"/>
      <c r="M71" s="7"/>
      <c r="O71" s="7"/>
      <c r="P71" s="7"/>
    </row>
    <row r="72" spans="1:16">
      <c r="A72" s="15">
        <v>34</v>
      </c>
      <c r="B72" s="16">
        <f ca="1" t="shared" si="4"/>
        <v>46950</v>
      </c>
      <c r="C72" s="7">
        <f ca="1" t="shared" si="5"/>
        <v>0</v>
      </c>
      <c r="D72" s="7">
        <f ca="1" t="shared" si="0"/>
        <v>0</v>
      </c>
      <c r="E72" s="7">
        <f ca="1" t="shared" si="1"/>
        <v>0</v>
      </c>
      <c r="F72" s="7">
        <f ca="1" t="shared" si="2"/>
        <v>0</v>
      </c>
      <c r="G72" s="7">
        <f ca="1" t="shared" si="3"/>
        <v>0</v>
      </c>
      <c r="I72" s="7"/>
      <c r="J72" s="7"/>
      <c r="K72" s="7"/>
      <c r="L72" s="7"/>
      <c r="M72" s="7"/>
      <c r="O72" s="7"/>
      <c r="P72" s="7"/>
    </row>
    <row r="73" spans="1:16">
      <c r="A73" s="15">
        <v>35</v>
      </c>
      <c r="B73" s="16">
        <f ca="1" t="shared" si="4"/>
        <v>46981</v>
      </c>
      <c r="C73" s="7">
        <f ca="1" t="shared" si="5"/>
        <v>0</v>
      </c>
      <c r="D73" s="7">
        <f ca="1" t="shared" si="0"/>
        <v>0</v>
      </c>
      <c r="E73" s="7">
        <f ca="1" t="shared" si="1"/>
        <v>0</v>
      </c>
      <c r="F73" s="7">
        <f ca="1" t="shared" si="2"/>
        <v>0</v>
      </c>
      <c r="G73" s="7">
        <f ca="1" t="shared" si="3"/>
        <v>0</v>
      </c>
      <c r="I73" s="7"/>
      <c r="J73" s="7"/>
      <c r="K73" s="7"/>
      <c r="L73" s="7"/>
      <c r="M73" s="7"/>
      <c r="O73" s="7"/>
      <c r="P73" s="7"/>
    </row>
    <row r="74" spans="1:16">
      <c r="A74" s="15">
        <v>36</v>
      </c>
      <c r="B74" s="16">
        <f ca="1" t="shared" si="4"/>
        <v>47012</v>
      </c>
      <c r="C74" s="7">
        <f ca="1" t="shared" si="5"/>
        <v>0</v>
      </c>
      <c r="D74" s="7">
        <f ca="1" t="shared" si="0"/>
        <v>0</v>
      </c>
      <c r="E74" s="7">
        <f ca="1" t="shared" si="1"/>
        <v>0</v>
      </c>
      <c r="F74" s="7">
        <f ca="1" t="shared" si="2"/>
        <v>0</v>
      </c>
      <c r="G74" s="7">
        <f ca="1" t="shared" si="3"/>
        <v>0</v>
      </c>
      <c r="I74" s="7"/>
      <c r="J74" s="7"/>
      <c r="K74" s="7"/>
      <c r="L74" s="7"/>
      <c r="M74" s="7"/>
      <c r="O74" s="7"/>
      <c r="P74" s="7"/>
    </row>
    <row r="75" spans="1:16">
      <c r="A75" s="15"/>
      <c r="B75" s="16"/>
      <c r="C75" s="7"/>
      <c r="D75" s="7"/>
      <c r="E75" s="7"/>
      <c r="F75" s="7"/>
      <c r="G75" s="7"/>
      <c r="I75" s="7"/>
      <c r="J75" s="7"/>
      <c r="K75" s="7"/>
    </row>
    <row r="76" spans="1:16">
      <c r="A76" s="2" t="s">
        <v>146</v>
      </c>
      <c r="B76" s="16"/>
      <c r="D76" s="2" t="s">
        <v>147</v>
      </c>
      <c r="E76" s="7">
        <f ca="1">SUM(D39:D74)</f>
        <v>4624.99999999995</v>
      </c>
      <c r="J76" s="2"/>
      <c r="K76" s="7"/>
    </row>
    <row r="77" spans="1:16">
      <c r="D77" s="2" t="s">
        <v>148</v>
      </c>
      <c r="E77" s="7">
        <f ca="1">SUM(E39:E74)</f>
        <v>15336</v>
      </c>
      <c r="J77" s="2"/>
      <c r="K77" s="7"/>
    </row>
  </sheetData>
  <mergeCells count="1">
    <mergeCell ref="A1:F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Z77"/>
  <sheetViews>
    <sheetView topLeftCell="A68" workbookViewId="0">
      <selection activeCell="I20" sqref="I20"/>
    </sheetView>
  </sheetViews>
  <sheetFormatPr defaultColWidth="9" defaultRowHeight="14.4"/>
  <cols>
    <col min="1" max="7" width="14.1666666666667" style="1" customWidth="1"/>
    <col min="8" max="8" width="4.66666666666667" style="1" customWidth="1"/>
    <col min="9" max="13" width="14.1666666666667" style="1" customWidth="1"/>
    <col min="14" max="14" width="4.66666666666667" style="1" customWidth="1"/>
    <col min="15" max="18" width="14.1666666666667" style="1" customWidth="1"/>
    <col min="19" max="20" width="9" style="1" customWidth="1"/>
    <col min="21" max="16384" width="9" style="1"/>
  </cols>
  <sheetData>
    <row r="1" ht="18.75" customHeight="1" spans="1:26">
      <c r="A1" s="2" t="str">
        <f ca="1">IFERROR(INDEX('List of customer'!D:D,MATCH($S$1,'List of customer'!$B:$B,0)),"")</f>
        <v>Goldhill Reserve Sdn Bhd</v>
      </c>
      <c r="K1" s="2" t="s">
        <v>87</v>
      </c>
      <c r="L1" s="3">
        <v>46022</v>
      </c>
      <c r="S1" s="4" t="str">
        <f ca="1" t="array" ref="S1">MID(CELL("filename",A1),FIND("]",CELL("filename",A1))+1,255)</f>
        <v>SO25-0172</v>
      </c>
      <c r="Z1" t="s">
        <v>150</v>
      </c>
    </row>
    <row r="2" spans="1:26">
      <c r="E2" s="5" t="s">
        <v>149</v>
      </c>
      <c r="F2" s="6"/>
      <c r="I2" s="7">
        <f ca="1">SUM(I3:I18)</f>
        <v>0</v>
      </c>
      <c r="K2" s="2" t="s">
        <v>89</v>
      </c>
      <c r="L2" s="8">
        <v>45658</v>
      </c>
    </row>
    <row r="3" spans="1:26">
      <c r="A3" s="2" t="s">
        <v>90</v>
      </c>
      <c r="B3" s="2"/>
      <c r="C3" s="1" t="str">
        <f ca="1">IFERROR(INDEX('List of customer'!C:C,MATCH($S$1,'List of customer'!$B:$B,0)),"")</f>
        <v>Rent-to-own Dishwasher</v>
      </c>
      <c r="E3" s="2" t="s">
        <v>91</v>
      </c>
    </row>
    <row r="4" spans="1:26">
      <c r="A4" s="1" t="s">
        <v>92</v>
      </c>
      <c r="C4" s="7">
        <f ca="1">IFERROR(INDEX('List of customer'!N:N,MATCH($S$1,'List of customer'!$B:$B,0)),"")</f>
        <v>10000</v>
      </c>
      <c r="E4" s="1" t="s">
        <v>93</v>
      </c>
      <c r="I4" s="7">
        <f ca="1">$C$39</f>
        <v>14015</v>
      </c>
      <c r="J4" s="9" t="s">
        <v>94</v>
      </c>
    </row>
    <row r="5" spans="1:26">
      <c r="A5" s="1" t="s">
        <v>95</v>
      </c>
      <c r="C5" s="10" t="str">
        <f ca="1">LEFT(IFERROR(INDEX('List of customer'!G:G,MATCH($S$1,'List of customer'!$B:$B,0)),""),2)</f>
        <v>36</v>
      </c>
      <c r="E5" s="11" t="s">
        <v>96</v>
      </c>
      <c r="I5" s="7">
        <f ca="1">-C25</f>
        <v>-9214.67870767763</v>
      </c>
      <c r="J5" s="9" t="s">
        <v>97</v>
      </c>
    </row>
    <row r="6" spans="1:26">
      <c r="A6" s="1" t="s">
        <v>48</v>
      </c>
      <c r="C6" s="12">
        <f ca="1">IFERROR(INDEX('List of customer'!E:E,MATCH($S$1,'List of customer'!$B:$B,0)),"")</f>
        <v>46023</v>
      </c>
      <c r="E6" s="11" t="s">
        <v>98</v>
      </c>
      <c r="I6" s="7">
        <f ca="1">-C26</f>
        <v>-4800.32129232237</v>
      </c>
      <c r="J6" s="9" t="s">
        <v>99</v>
      </c>
    </row>
    <row r="7" spans="1:26">
      <c r="A7" s="1" t="s">
        <v>49</v>
      </c>
      <c r="C7" s="12">
        <f ca="1">IFERROR(INDEX('List of customer'!F:F,MATCH($S$1,'List of customer'!$B:$B,0)),"")</f>
        <v>47118</v>
      </c>
      <c r="J7" s="9"/>
    </row>
    <row r="8" spans="1:26">
      <c r="A8" s="1" t="s">
        <v>100</v>
      </c>
      <c r="C8" s="7">
        <f ca="1">IFERROR(INDEX('List of customer'!J:J,MATCH($S$1,'List of customer'!$B:$B,0)),"")</f>
        <v>699</v>
      </c>
      <c r="E8" s="1" t="s">
        <v>101</v>
      </c>
      <c r="I8" s="7">
        <f ca="1">C32</f>
        <v>10000</v>
      </c>
      <c r="J8" s="9"/>
    </row>
    <row r="9" spans="1:26">
      <c r="A9" s="1" t="s">
        <v>102</v>
      </c>
      <c r="C9" s="7">
        <f ca="1">C17</f>
        <v>14015</v>
      </c>
      <c r="E9" s="11" t="s">
        <v>103</v>
      </c>
      <c r="I9" s="7">
        <f ca="1">-I8</f>
        <v>-10000</v>
      </c>
      <c r="J9" s="9" t="s">
        <v>104</v>
      </c>
    </row>
    <row r="10" spans="1:26">
      <c r="C10" s="13"/>
      <c r="J10" s="9"/>
    </row>
    <row r="11" spans="1:26">
      <c r="A11" s="1" t="s">
        <v>105</v>
      </c>
      <c r="C11" s="10" t="str">
        <f ca="1">IF(C9=0,"No","Yes")</f>
        <v>Yes</v>
      </c>
      <c r="E11" s="2" t="s">
        <v>106</v>
      </c>
      <c r="I11" s="7"/>
      <c r="J11" s="9"/>
    </row>
    <row r="12" spans="1:26">
      <c r="E12" s="1" t="s">
        <v>107</v>
      </c>
      <c r="I12" s="7">
        <f ca="1">-I6/$C$5*COUNTIFS($B$39:$B$74,"&lt;="&amp;$L$1,$E$39:$E$74,"&gt;"&amp;0,$B$39:$B$74,"&gt;="&amp;$L$2)</f>
        <v>0</v>
      </c>
      <c r="J12" s="9" t="s">
        <v>108</v>
      </c>
    </row>
    <row r="13" spans="1:26">
      <c r="A13" s="2" t="s">
        <v>109</v>
      </c>
      <c r="E13" s="11" t="s">
        <v>110</v>
      </c>
      <c r="I13" s="7">
        <f ca="1">-I12</f>
        <v>0</v>
      </c>
      <c r="J13" s="9"/>
    </row>
    <row r="14" spans="1:26">
      <c r="A14" s="1" t="s">
        <v>111</v>
      </c>
      <c r="C14" s="7">
        <f ca="1">IFERROR(INDEX('List of customer'!P:P,MATCH($S$1,'List of customer'!$B:$B,0)),"")</f>
        <v>22634</v>
      </c>
      <c r="J14" s="9"/>
    </row>
    <row r="15" spans="1:26">
      <c r="A15" s="1" t="s">
        <v>112</v>
      </c>
      <c r="C15" s="7">
        <f ca="1">IFERROR(INDEX('List of customer'!Q:Q,MATCH($S$1,'List of customer'!$B:$B,0)),"")</f>
        <v>2873</v>
      </c>
      <c r="E15" s="4" t="s">
        <v>113</v>
      </c>
      <c r="F15" s="4"/>
      <c r="G15" s="4"/>
      <c r="I15" s="7">
        <f ca="1">SUMIFS($E$39:$E$74,$B$39:$B$74,"&lt;="&amp;$L$1,$B$39:$B$74,"&gt;="&amp;$L$2)</f>
        <v>0</v>
      </c>
      <c r="J15" s="9" t="s">
        <v>114</v>
      </c>
    </row>
    <row r="16" spans="1:26">
      <c r="A16" s="1" t="s">
        <v>115</v>
      </c>
      <c r="C16" s="10" t="str">
        <f ca="1">LEFT(IFERROR(INDEX('List of customer'!S:S,MATCH($S$1,'List of customer'!$B:$B,0)),""),1)</f>
        <v>3</v>
      </c>
      <c r="E16" s="11" t="s">
        <v>116</v>
      </c>
      <c r="G16" s="4"/>
      <c r="I16" s="7">
        <f ca="1">-SUMIFS($F$39:$F$74,$B$39:$B$74,"&lt;="&amp;$L$1,$B$39:$B$74,"&gt;="&amp;$L$2)</f>
        <v>0</v>
      </c>
      <c r="J16" s="9" t="s">
        <v>117</v>
      </c>
    </row>
    <row r="17" spans="1:10">
      <c r="A17" s="1" t="s">
        <v>118</v>
      </c>
      <c r="C17" s="7">
        <f ca="1">C14-C15*C16</f>
        <v>14015</v>
      </c>
      <c r="E17" s="11" t="s">
        <v>119</v>
      </c>
      <c r="G17" s="4"/>
      <c r="I17" s="7">
        <f ca="1">-SUMIFS($D$39:$D$74,$B$39:$B$74,"&lt;="&amp;$L$1,$B$39:$B$74,"&gt;="&amp;$L$2)</f>
        <v>0</v>
      </c>
      <c r="J17" s="9" t="s">
        <v>120</v>
      </c>
    </row>
    <row r="18" spans="1:10">
      <c r="E18" s="11"/>
      <c r="I18" s="7"/>
      <c r="J18" s="9"/>
    </row>
    <row r="19" spans="1:10">
      <c r="A19" s="2" t="s">
        <v>121</v>
      </c>
      <c r="I19" s="7"/>
      <c r="J19" s="9"/>
    </row>
    <row r="20" spans="1:10">
      <c r="A20" s="1" t="s">
        <v>122</v>
      </c>
      <c r="C20" s="7">
        <f ca="1">C5*C8</f>
        <v>25164</v>
      </c>
      <c r="J20" s="9"/>
    </row>
    <row r="21" spans="1:10">
      <c r="A21" s="1" t="s">
        <v>123</v>
      </c>
      <c r="C21" s="7">
        <f ca="1">C15*C16</f>
        <v>8619</v>
      </c>
      <c r="D21" s="9" t="s">
        <v>124</v>
      </c>
      <c r="J21" s="9"/>
    </row>
    <row r="22" spans="1:10">
      <c r="A22" s="1" t="s">
        <v>125</v>
      </c>
      <c r="C22" s="7">
        <f ca="1">C20-C21</f>
        <v>16545</v>
      </c>
      <c r="J22" s="9"/>
    </row>
    <row r="23" spans="1:10">
      <c r="E23" s="2"/>
      <c r="I23" s="7"/>
      <c r="J23" s="9"/>
    </row>
    <row r="24" spans="1:10">
      <c r="A24" s="2" t="s">
        <v>126</v>
      </c>
      <c r="C24" s="7"/>
      <c r="I24" s="7"/>
      <c r="J24" s="9"/>
    </row>
    <row r="25" spans="1:10">
      <c r="A25" s="1" t="s">
        <v>127</v>
      </c>
      <c r="C25" s="7">
        <f ca="1">$C$22/$C$20*$C$30</f>
        <v>9214.67870767763</v>
      </c>
      <c r="I25" s="7"/>
      <c r="J25" s="9"/>
    </row>
    <row r="26" spans="1:10">
      <c r="A26" s="1" t="s">
        <v>128</v>
      </c>
      <c r="C26" s="7">
        <f ca="1">$C$21/$C$20*$C$30</f>
        <v>4800.32129232237</v>
      </c>
      <c r="I26" s="7"/>
      <c r="J26" s="9"/>
    </row>
    <row r="27" spans="1:10">
      <c r="I27" s="7"/>
      <c r="J27" s="9"/>
    </row>
    <row r="28" spans="1:10">
      <c r="A28" s="2" t="s">
        <v>129</v>
      </c>
      <c r="B28" s="2"/>
      <c r="I28" s="7"/>
      <c r="J28" s="9"/>
    </row>
    <row r="29" spans="1:10">
      <c r="A29" s="1" t="s">
        <v>130</v>
      </c>
      <c r="C29" s="14">
        <f ca="1">IF(UPPER($C$11)="YES",RATE($C$5,-$C$8,$C$9,0,0),$C$10)</f>
        <v>0.0358317225821541</v>
      </c>
      <c r="I29" s="7"/>
      <c r="J29" s="9"/>
    </row>
    <row r="30" spans="1:10">
      <c r="A30" s="1" t="s">
        <v>132</v>
      </c>
      <c r="C30" s="7">
        <f ca="1">IF(UPPER($C$11)="YES",$C$9,PV($C$29,$C$5,-$C$8,0,0))</f>
        <v>14015</v>
      </c>
      <c r="I30" s="7"/>
      <c r="J30" s="9"/>
    </row>
    <row r="31" spans="1:10">
      <c r="A31" s="1" t="s">
        <v>133</v>
      </c>
      <c r="C31" s="7">
        <f ca="1">C30</f>
        <v>14015</v>
      </c>
      <c r="I31" s="7"/>
      <c r="J31" s="9"/>
    </row>
    <row r="32" spans="1:10">
      <c r="A32" s="1" t="s">
        <v>134</v>
      </c>
      <c r="C32" s="7">
        <f ca="1">IFERROR(INDEX('List of customer'!N:N,MATCH($S$1,'List of customer'!$B:$B,0)),"")</f>
        <v>10000</v>
      </c>
      <c r="I32" s="7"/>
      <c r="J32" s="9"/>
    </row>
    <row r="33" spans="1:16">
      <c r="A33" s="1" t="s">
        <v>135</v>
      </c>
      <c r="C33" s="7">
        <f ca="1">C31-C32</f>
        <v>4015</v>
      </c>
      <c r="I33" s="7"/>
      <c r="J33" s="9"/>
    </row>
    <row r="37" spans="1:16">
      <c r="A37" s="2" t="s">
        <v>136</v>
      </c>
      <c r="I37" s="2"/>
    </row>
    <row r="38" spans="1:16">
      <c r="A38" s="2" t="s">
        <v>139</v>
      </c>
      <c r="B38" s="2" t="s">
        <v>140</v>
      </c>
      <c r="C38" s="2" t="s">
        <v>141</v>
      </c>
      <c r="D38" s="2" t="s">
        <v>142</v>
      </c>
      <c r="E38" s="2" t="s">
        <v>143</v>
      </c>
      <c r="F38" s="2" t="s">
        <v>144</v>
      </c>
      <c r="G38" s="2" t="s">
        <v>145</v>
      </c>
      <c r="I38" s="2"/>
      <c r="J38" s="2"/>
      <c r="K38" s="2"/>
      <c r="L38" s="2"/>
      <c r="M38" s="2"/>
      <c r="O38" s="2"/>
      <c r="P38" s="2"/>
    </row>
    <row r="39" spans="1:16">
      <c r="A39" s="15">
        <v>1</v>
      </c>
      <c r="B39" s="16">
        <f ca="1">$C$6</f>
        <v>46023</v>
      </c>
      <c r="C39" s="7">
        <f ca="1">C30</f>
        <v>14015</v>
      </c>
      <c r="D39" s="7">
        <f ca="1" t="shared" ref="D39:D74" si="0">C39*$C$29</f>
        <v>502.181591988889</v>
      </c>
      <c r="E39" s="7">
        <f ca="1" t="shared" ref="E39:E74" si="1">IF(C39&lt;=1,0,$C$8)</f>
        <v>699</v>
      </c>
      <c r="F39" s="7">
        <f ca="1" t="shared" ref="F39:F74" si="2">E39-D39</f>
        <v>196.818408011111</v>
      </c>
      <c r="G39" s="7">
        <f ca="1" t="shared" ref="G39:G74" si="3">C39-F39</f>
        <v>13818.1815919889</v>
      </c>
      <c r="I39" s="7"/>
      <c r="J39" s="7"/>
      <c r="K39" s="7"/>
      <c r="L39" s="7"/>
      <c r="M39" s="7"/>
      <c r="O39" s="7"/>
      <c r="P39" s="7"/>
    </row>
    <row r="40" spans="1:16">
      <c r="A40" s="15">
        <v>2</v>
      </c>
      <c r="B40" s="16">
        <f ca="1" t="shared" ref="B40:B74" si="4">EDATE(B39,1)</f>
        <v>46054</v>
      </c>
      <c r="C40" s="7">
        <f ca="1" t="shared" ref="C40:C74" si="5">IF(G39&lt;=0,0,G39)</f>
        <v>13818.1815919889</v>
      </c>
      <c r="D40" s="7">
        <f ca="1" t="shared" si="0"/>
        <v>495.129249393974</v>
      </c>
      <c r="E40" s="7">
        <f ca="1" t="shared" si="1"/>
        <v>699</v>
      </c>
      <c r="F40" s="7">
        <f ca="1" t="shared" si="2"/>
        <v>203.870750606026</v>
      </c>
      <c r="G40" s="7">
        <f ca="1" t="shared" si="3"/>
        <v>13614.3108413829</v>
      </c>
      <c r="I40" s="7"/>
      <c r="J40" s="7"/>
      <c r="K40" s="7"/>
      <c r="L40" s="7"/>
      <c r="M40" s="7"/>
      <c r="O40" s="7"/>
      <c r="P40" s="7"/>
    </row>
    <row r="41" spans="1:16">
      <c r="A41" s="15">
        <v>3</v>
      </c>
      <c r="B41" s="16">
        <f ca="1" t="shared" si="4"/>
        <v>46082</v>
      </c>
      <c r="C41" s="7">
        <f ca="1" t="shared" si="5"/>
        <v>13614.3108413829</v>
      </c>
      <c r="D41" s="7">
        <f ca="1" t="shared" si="0"/>
        <v>487.824209215643</v>
      </c>
      <c r="E41" s="7">
        <f ca="1" t="shared" si="1"/>
        <v>699</v>
      </c>
      <c r="F41" s="7">
        <f ca="1" t="shared" si="2"/>
        <v>211.175790784357</v>
      </c>
      <c r="G41" s="7">
        <f ca="1" t="shared" si="3"/>
        <v>13403.1350505985</v>
      </c>
      <c r="I41" s="7"/>
      <c r="J41" s="7"/>
      <c r="K41" s="7"/>
      <c r="L41" s="7"/>
      <c r="M41" s="7"/>
      <c r="O41" s="7"/>
      <c r="P41" s="7"/>
    </row>
    <row r="42" spans="1:16">
      <c r="A42" s="15">
        <v>4</v>
      </c>
      <c r="B42" s="16">
        <f ca="1" t="shared" si="4"/>
        <v>46113</v>
      </c>
      <c r="C42" s="7">
        <f ca="1" t="shared" si="5"/>
        <v>13403.1350505985</v>
      </c>
      <c r="D42" s="7">
        <f ca="1" t="shared" si="0"/>
        <v>480.257416864191</v>
      </c>
      <c r="E42" s="7">
        <f ca="1" t="shared" si="1"/>
        <v>699</v>
      </c>
      <c r="F42" s="7">
        <f ca="1" t="shared" si="2"/>
        <v>218.742583135809</v>
      </c>
      <c r="G42" s="7">
        <f ca="1" t="shared" si="3"/>
        <v>13184.3924674627</v>
      </c>
      <c r="I42" s="7"/>
      <c r="J42" s="7"/>
      <c r="K42" s="7"/>
      <c r="L42" s="7"/>
      <c r="M42" s="7"/>
      <c r="O42" s="7"/>
      <c r="P42" s="7"/>
    </row>
    <row r="43" spans="1:16">
      <c r="A43" s="15">
        <v>5</v>
      </c>
      <c r="B43" s="16">
        <f ca="1" t="shared" si="4"/>
        <v>46143</v>
      </c>
      <c r="C43" s="7">
        <f ca="1" t="shared" si="5"/>
        <v>13184.3924674627</v>
      </c>
      <c r="D43" s="7">
        <f ca="1" t="shared" si="0"/>
        <v>472.419493308365</v>
      </c>
      <c r="E43" s="7">
        <f ca="1" t="shared" si="1"/>
        <v>699</v>
      </c>
      <c r="F43" s="7">
        <f ca="1" t="shared" si="2"/>
        <v>226.580506691635</v>
      </c>
      <c r="G43" s="7">
        <f ca="1" t="shared" si="3"/>
        <v>12957.8119607711</v>
      </c>
      <c r="I43" s="7"/>
      <c r="J43" s="7"/>
      <c r="K43" s="7"/>
      <c r="L43" s="7"/>
      <c r="M43" s="7"/>
      <c r="O43" s="7"/>
      <c r="P43" s="7"/>
    </row>
    <row r="44" spans="1:16">
      <c r="A44" s="15">
        <v>6</v>
      </c>
      <c r="B44" s="16">
        <f ca="1" t="shared" si="4"/>
        <v>46174</v>
      </c>
      <c r="C44" s="7">
        <f ca="1" t="shared" si="5"/>
        <v>12957.8119607711</v>
      </c>
      <c r="D44" s="7">
        <f ca="1" t="shared" si="0"/>
        <v>464.300723450066</v>
      </c>
      <c r="E44" s="7">
        <f ca="1" t="shared" si="1"/>
        <v>699</v>
      </c>
      <c r="F44" s="7">
        <f ca="1" t="shared" si="2"/>
        <v>234.699276549934</v>
      </c>
      <c r="G44" s="7">
        <f ca="1" t="shared" si="3"/>
        <v>12723.1126842211</v>
      </c>
      <c r="I44" s="7"/>
      <c r="J44" s="7"/>
      <c r="K44" s="7"/>
      <c r="L44" s="7"/>
      <c r="M44" s="7"/>
      <c r="O44" s="7"/>
      <c r="P44" s="7"/>
    </row>
    <row r="45" spans="1:16">
      <c r="A45" s="15">
        <v>7</v>
      </c>
      <c r="B45" s="16">
        <f ca="1" t="shared" si="4"/>
        <v>46204</v>
      </c>
      <c r="C45" s="7">
        <f ca="1" t="shared" si="5"/>
        <v>12723.1126842211</v>
      </c>
      <c r="D45" s="7">
        <f ca="1" t="shared" si="0"/>
        <v>455.891044082497</v>
      </c>
      <c r="E45" s="7">
        <f ca="1" t="shared" si="1"/>
        <v>699</v>
      </c>
      <c r="F45" s="7">
        <f ca="1" t="shared" si="2"/>
        <v>243.108955917503</v>
      </c>
      <c r="G45" s="7">
        <f ca="1" t="shared" si="3"/>
        <v>12480.0037283036</v>
      </c>
      <c r="I45" s="7"/>
      <c r="J45" s="7"/>
      <c r="K45" s="7"/>
      <c r="L45" s="7"/>
      <c r="M45" s="7"/>
      <c r="O45" s="7"/>
      <c r="P45" s="7"/>
    </row>
    <row r="46" spans="1:16">
      <c r="A46" s="15">
        <v>8</v>
      </c>
      <c r="B46" s="16">
        <f ca="1" t="shared" si="4"/>
        <v>46235</v>
      </c>
      <c r="C46" s="7">
        <f ca="1" t="shared" si="5"/>
        <v>12480.0037283036</v>
      </c>
      <c r="D46" s="7">
        <f ca="1" t="shared" si="0"/>
        <v>447.180031416824</v>
      </c>
      <c r="E46" s="7">
        <f ca="1" t="shared" si="1"/>
        <v>699</v>
      </c>
      <c r="F46" s="7">
        <f ca="1" t="shared" si="2"/>
        <v>251.819968583176</v>
      </c>
      <c r="G46" s="7">
        <f ca="1" t="shared" si="3"/>
        <v>12228.1837597205</v>
      </c>
      <c r="I46" s="7"/>
      <c r="J46" s="7"/>
      <c r="K46" s="7"/>
      <c r="L46" s="7"/>
      <c r="M46" s="7"/>
      <c r="O46" s="7"/>
      <c r="P46" s="7"/>
    </row>
    <row r="47" spans="1:16">
      <c r="A47" s="15">
        <v>9</v>
      </c>
      <c r="B47" s="16">
        <f ca="1" t="shared" si="4"/>
        <v>46266</v>
      </c>
      <c r="C47" s="7">
        <f ca="1" t="shared" si="5"/>
        <v>12228.1837597205</v>
      </c>
      <c r="D47" s="7">
        <f ca="1" t="shared" si="0"/>
        <v>438.156888161905</v>
      </c>
      <c r="E47" s="7">
        <f ca="1" t="shared" si="1"/>
        <v>699</v>
      </c>
      <c r="F47" s="7">
        <f ca="1" t="shared" si="2"/>
        <v>260.843111838095</v>
      </c>
      <c r="G47" s="7">
        <f ca="1" t="shared" si="3"/>
        <v>11967.3406478824</v>
      </c>
      <c r="I47" s="7"/>
      <c r="J47" s="7"/>
      <c r="K47" s="7"/>
      <c r="L47" s="7"/>
      <c r="M47" s="7"/>
      <c r="O47" s="7"/>
      <c r="P47" s="7"/>
    </row>
    <row r="48" spans="1:16">
      <c r="A48" s="15">
        <v>10</v>
      </c>
      <c r="B48" s="16">
        <f ca="1" t="shared" si="4"/>
        <v>46296</v>
      </c>
      <c r="C48" s="7">
        <f ca="1" t="shared" si="5"/>
        <v>11967.3406478824</v>
      </c>
      <c r="D48" s="7">
        <f ca="1" t="shared" si="0"/>
        <v>428.810430141056</v>
      </c>
      <c r="E48" s="7">
        <f ca="1" t="shared" si="1"/>
        <v>699</v>
      </c>
      <c r="F48" s="7">
        <f ca="1" t="shared" si="2"/>
        <v>270.189569858944</v>
      </c>
      <c r="G48" s="7">
        <f ca="1" t="shared" si="3"/>
        <v>11697.1510780234</v>
      </c>
      <c r="I48" s="7"/>
      <c r="J48" s="7"/>
      <c r="K48" s="7"/>
      <c r="L48" s="7"/>
      <c r="M48" s="7"/>
      <c r="O48" s="7"/>
      <c r="P48" s="7"/>
    </row>
    <row r="49" spans="1:16">
      <c r="A49" s="15">
        <v>11</v>
      </c>
      <c r="B49" s="16">
        <f ca="1" t="shared" si="4"/>
        <v>46327</v>
      </c>
      <c r="C49" s="7">
        <f ca="1" t="shared" si="5"/>
        <v>11697.1510780234</v>
      </c>
      <c r="D49" s="7">
        <f ca="1" t="shared" si="0"/>
        <v>419.129072429279</v>
      </c>
      <c r="E49" s="7">
        <f ca="1" t="shared" si="1"/>
        <v>699</v>
      </c>
      <c r="F49" s="7">
        <f ca="1" t="shared" si="2"/>
        <v>279.870927570721</v>
      </c>
      <c r="G49" s="7">
        <f ca="1" t="shared" si="3"/>
        <v>11417.2801504527</v>
      </c>
      <c r="I49" s="7"/>
      <c r="J49" s="7"/>
      <c r="K49" s="7"/>
      <c r="L49" s="7"/>
      <c r="M49" s="7"/>
      <c r="O49" s="7"/>
      <c r="P49" s="7"/>
    </row>
    <row r="50" spans="1:16">
      <c r="A50" s="15">
        <v>12</v>
      </c>
      <c r="B50" s="16">
        <f ca="1" t="shared" si="4"/>
        <v>46357</v>
      </c>
      <c r="C50" s="7">
        <f ca="1" t="shared" si="5"/>
        <v>11417.2801504527</v>
      </c>
      <c r="D50" s="7">
        <f ca="1" t="shared" si="0"/>
        <v>409.100814993755</v>
      </c>
      <c r="E50" s="7">
        <f ca="1" t="shared" si="1"/>
        <v>699</v>
      </c>
      <c r="F50" s="7">
        <f ca="1" t="shared" si="2"/>
        <v>289.899185006245</v>
      </c>
      <c r="G50" s="7">
        <f ca="1" t="shared" si="3"/>
        <v>11127.3809654464</v>
      </c>
      <c r="I50" s="7"/>
      <c r="J50" s="7"/>
      <c r="K50" s="7"/>
      <c r="L50" s="7"/>
      <c r="M50" s="7"/>
      <c r="O50" s="7"/>
      <c r="P50" s="7"/>
    </row>
    <row r="51" spans="1:16">
      <c r="A51" s="15">
        <v>13</v>
      </c>
      <c r="B51" s="16">
        <f ca="1" t="shared" si="4"/>
        <v>46388</v>
      </c>
      <c r="C51" s="7">
        <f ca="1" t="shared" si="5"/>
        <v>11127.3809654464</v>
      </c>
      <c r="D51" s="7">
        <f ca="1" t="shared" si="0"/>
        <v>398.713227819819</v>
      </c>
      <c r="E51" s="7">
        <f ca="1" t="shared" si="1"/>
        <v>699</v>
      </c>
      <c r="F51" s="7">
        <f ca="1" t="shared" si="2"/>
        <v>300.286772180181</v>
      </c>
      <c r="G51" s="7">
        <f ca="1" t="shared" si="3"/>
        <v>10827.0941932663</v>
      </c>
      <c r="I51" s="7"/>
      <c r="J51" s="7"/>
      <c r="K51" s="7"/>
      <c r="L51" s="7"/>
      <c r="M51" s="7"/>
      <c r="O51" s="7"/>
      <c r="P51" s="7"/>
    </row>
    <row r="52" spans="1:16">
      <c r="A52" s="15">
        <v>14</v>
      </c>
      <c r="B52" s="16">
        <f ca="1" t="shared" si="4"/>
        <v>46419</v>
      </c>
      <c r="C52" s="7">
        <f ca="1" t="shared" si="5"/>
        <v>10827.0941932663</v>
      </c>
      <c r="D52" s="7">
        <f ca="1" t="shared" si="0"/>
        <v>387.953435503968</v>
      </c>
      <c r="E52" s="7">
        <f ca="1" t="shared" si="1"/>
        <v>699</v>
      </c>
      <c r="F52" s="7">
        <f ca="1" t="shared" si="2"/>
        <v>311.046564496032</v>
      </c>
      <c r="G52" s="7">
        <f ca="1" t="shared" si="3"/>
        <v>10516.0476287702</v>
      </c>
      <c r="I52" s="7"/>
      <c r="J52" s="7"/>
      <c r="K52" s="7"/>
      <c r="L52" s="7"/>
      <c r="M52" s="7"/>
      <c r="O52" s="7"/>
      <c r="P52" s="7"/>
    </row>
    <row r="53" spans="1:16">
      <c r="A53" s="15">
        <v>15</v>
      </c>
      <c r="B53" s="16">
        <f ca="1" t="shared" si="4"/>
        <v>46447</v>
      </c>
      <c r="C53" s="7">
        <f ca="1" t="shared" si="5"/>
        <v>10516.0476287702</v>
      </c>
      <c r="D53" s="7">
        <f ca="1" t="shared" si="0"/>
        <v>376.808101294814</v>
      </c>
      <c r="E53" s="7">
        <f ca="1" t="shared" si="1"/>
        <v>699</v>
      </c>
      <c r="F53" s="7">
        <f ca="1" t="shared" si="2"/>
        <v>322.191898705186</v>
      </c>
      <c r="G53" s="7">
        <f ca="1" t="shared" si="3"/>
        <v>10193.855730065</v>
      </c>
      <c r="I53" s="7"/>
      <c r="J53" s="7"/>
      <c r="K53" s="7"/>
      <c r="L53" s="7"/>
      <c r="M53" s="7"/>
      <c r="O53" s="7"/>
      <c r="P53" s="7"/>
    </row>
    <row r="54" spans="1:16">
      <c r="A54" s="15">
        <v>16</v>
      </c>
      <c r="B54" s="16">
        <f ca="1" t="shared" si="4"/>
        <v>46478</v>
      </c>
      <c r="C54" s="7">
        <f ca="1" t="shared" si="5"/>
        <v>10193.855730065</v>
      </c>
      <c r="D54" s="7">
        <f ca="1" t="shared" si="0"/>
        <v>365.263410562192</v>
      </c>
      <c r="E54" s="7">
        <f ca="1" t="shared" si="1"/>
        <v>699</v>
      </c>
      <c r="F54" s="7">
        <f ca="1" t="shared" si="2"/>
        <v>333.736589437808</v>
      </c>
      <c r="G54" s="7">
        <f ca="1" t="shared" si="3"/>
        <v>9860.11914062724</v>
      </c>
      <c r="I54" s="7"/>
      <c r="J54" s="7"/>
      <c r="K54" s="7"/>
      <c r="L54" s="7"/>
      <c r="M54" s="7"/>
      <c r="O54" s="7"/>
      <c r="P54" s="7"/>
    </row>
    <row r="55" spans="1:16">
      <c r="A55" s="15">
        <v>17</v>
      </c>
      <c r="B55" s="16">
        <f ca="1" t="shared" si="4"/>
        <v>46508</v>
      </c>
      <c r="C55" s="7">
        <f ca="1" t="shared" si="5"/>
        <v>9860.11914062724</v>
      </c>
      <c r="D55" s="7">
        <f ca="1" t="shared" si="0"/>
        <v>353.305053673942</v>
      </c>
      <c r="E55" s="7">
        <f ca="1" t="shared" si="1"/>
        <v>699</v>
      </c>
      <c r="F55" s="7">
        <f ca="1" t="shared" si="2"/>
        <v>345.694946326058</v>
      </c>
      <c r="G55" s="7">
        <f ca="1" t="shared" si="3"/>
        <v>9514.42419430118</v>
      </c>
      <c r="I55" s="7"/>
      <c r="J55" s="7"/>
      <c r="K55" s="7"/>
      <c r="L55" s="7"/>
      <c r="M55" s="7"/>
      <c r="O55" s="7"/>
      <c r="P55" s="7"/>
    </row>
    <row r="56" spans="1:16">
      <c r="A56" s="15">
        <v>18</v>
      </c>
      <c r="B56" s="16">
        <f ca="1" t="shared" si="4"/>
        <v>46539</v>
      </c>
      <c r="C56" s="7">
        <f ca="1" t="shared" si="5"/>
        <v>9514.42419430118</v>
      </c>
      <c r="D56" s="7">
        <f ca="1" t="shared" si="0"/>
        <v>340.918208259135</v>
      </c>
      <c r="E56" s="7">
        <f ca="1" t="shared" si="1"/>
        <v>699</v>
      </c>
      <c r="F56" s="7">
        <f ca="1" t="shared" si="2"/>
        <v>358.081791740865</v>
      </c>
      <c r="G56" s="7">
        <f ca="1" t="shared" si="3"/>
        <v>9156.34240256032</v>
      </c>
      <c r="I56" s="7"/>
      <c r="J56" s="7"/>
      <c r="K56" s="7"/>
      <c r="L56" s="7"/>
      <c r="M56" s="7"/>
      <c r="O56" s="7"/>
      <c r="P56" s="7"/>
    </row>
    <row r="57" spans="1:16">
      <c r="A57" s="15">
        <v>19</v>
      </c>
      <c r="B57" s="16">
        <f ca="1" t="shared" si="4"/>
        <v>46569</v>
      </c>
      <c r="C57" s="7">
        <f ca="1" t="shared" si="5"/>
        <v>9156.34240256032</v>
      </c>
      <c r="D57" s="7">
        <f ca="1" t="shared" si="0"/>
        <v>328.087520835755</v>
      </c>
      <c r="E57" s="7">
        <f ca="1" t="shared" si="1"/>
        <v>699</v>
      </c>
      <c r="F57" s="7">
        <f ca="1" t="shared" si="2"/>
        <v>370.912479164245</v>
      </c>
      <c r="G57" s="7">
        <f ca="1" t="shared" si="3"/>
        <v>8785.42992339607</v>
      </c>
      <c r="I57" s="7"/>
      <c r="J57" s="7"/>
      <c r="K57" s="7"/>
      <c r="L57" s="7"/>
      <c r="M57" s="7"/>
      <c r="O57" s="7"/>
      <c r="P57" s="7"/>
    </row>
    <row r="58" spans="1:16">
      <c r="A58" s="15">
        <v>20</v>
      </c>
      <c r="B58" s="16">
        <f ca="1" t="shared" si="4"/>
        <v>46600</v>
      </c>
      <c r="C58" s="7">
        <f ca="1" t="shared" si="5"/>
        <v>8785.42992339607</v>
      </c>
      <c r="D58" s="7">
        <f ca="1" t="shared" si="0"/>
        <v>314.797087780083</v>
      </c>
      <c r="E58" s="7">
        <f ca="1" t="shared" si="1"/>
        <v>699</v>
      </c>
      <c r="F58" s="7">
        <f ca="1" t="shared" si="2"/>
        <v>384.202912219917</v>
      </c>
      <c r="G58" s="7">
        <f ca="1" t="shared" si="3"/>
        <v>8401.22701117616</v>
      </c>
      <c r="I58" s="7"/>
      <c r="J58" s="7"/>
      <c r="K58" s="7"/>
      <c r="L58" s="7"/>
      <c r="M58" s="7"/>
      <c r="O58" s="7"/>
      <c r="P58" s="7"/>
    </row>
    <row r="59" spans="1:16">
      <c r="A59" s="15">
        <v>21</v>
      </c>
      <c r="B59" s="16">
        <f ca="1" t="shared" si="4"/>
        <v>46631</v>
      </c>
      <c r="C59" s="7">
        <f ca="1" t="shared" si="5"/>
        <v>8401.22701117616</v>
      </c>
      <c r="D59" s="7">
        <f ca="1" t="shared" si="0"/>
        <v>301.030435614163</v>
      </c>
      <c r="E59" s="7">
        <f ca="1" t="shared" si="1"/>
        <v>699</v>
      </c>
      <c r="F59" s="7">
        <f ca="1" t="shared" si="2"/>
        <v>397.969564385837</v>
      </c>
      <c r="G59" s="7">
        <f ca="1" t="shared" si="3"/>
        <v>8003.25744679032</v>
      </c>
      <c r="I59" s="7"/>
      <c r="J59" s="7"/>
      <c r="K59" s="7"/>
      <c r="L59" s="7"/>
      <c r="M59" s="7"/>
      <c r="O59" s="7"/>
      <c r="P59" s="7"/>
    </row>
    <row r="60" spans="1:16">
      <c r="A60" s="15">
        <v>22</v>
      </c>
      <c r="B60" s="16">
        <f ca="1" t="shared" si="4"/>
        <v>46661</v>
      </c>
      <c r="C60" s="7">
        <f ca="1" t="shared" si="5"/>
        <v>8003.25744679032</v>
      </c>
      <c r="D60" s="7">
        <f ca="1" t="shared" si="0"/>
        <v>286.770500586949</v>
      </c>
      <c r="E60" s="7">
        <f ca="1" t="shared" si="1"/>
        <v>699</v>
      </c>
      <c r="F60" s="7">
        <f ca="1" t="shared" si="2"/>
        <v>412.229499413051</v>
      </c>
      <c r="G60" s="7">
        <f ca="1" t="shared" si="3"/>
        <v>7591.02794737727</v>
      </c>
      <c r="I60" s="7"/>
      <c r="J60" s="7"/>
      <c r="K60" s="7"/>
      <c r="L60" s="7"/>
      <c r="M60" s="7"/>
      <c r="O60" s="7"/>
      <c r="P60" s="7"/>
    </row>
    <row r="61" spans="1:16">
      <c r="A61" s="15">
        <v>23</v>
      </c>
      <c r="B61" s="16">
        <f ca="1" t="shared" si="4"/>
        <v>46692</v>
      </c>
      <c r="C61" s="7">
        <f ca="1" t="shared" si="5"/>
        <v>7591.02794737727</v>
      </c>
      <c r="D61" s="7">
        <f ca="1" t="shared" si="0"/>
        <v>271.999607523801</v>
      </c>
      <c r="E61" s="7">
        <f ca="1" t="shared" si="1"/>
        <v>699</v>
      </c>
      <c r="F61" s="7">
        <f ca="1" t="shared" si="2"/>
        <v>427.000392476199</v>
      </c>
      <c r="G61" s="7">
        <f ca="1" t="shared" si="3"/>
        <v>7164.02755490107</v>
      </c>
      <c r="I61" s="7"/>
      <c r="J61" s="7"/>
      <c r="K61" s="7"/>
      <c r="L61" s="7"/>
      <c r="M61" s="7"/>
      <c r="O61" s="7"/>
      <c r="P61" s="7"/>
    </row>
    <row r="62" spans="1:16">
      <c r="A62" s="15">
        <v>24</v>
      </c>
      <c r="B62" s="16">
        <f ca="1" t="shared" si="4"/>
        <v>46722</v>
      </c>
      <c r="C62" s="7">
        <f ca="1" t="shared" si="5"/>
        <v>7164.02755490107</v>
      </c>
      <c r="D62" s="7">
        <f ca="1" t="shared" si="0"/>
        <v>256.699447918123</v>
      </c>
      <c r="E62" s="7">
        <f ca="1" t="shared" si="1"/>
        <v>699</v>
      </c>
      <c r="F62" s="7">
        <f ca="1" t="shared" si="2"/>
        <v>442.300552081877</v>
      </c>
      <c r="G62" s="7">
        <f ca="1" t="shared" si="3"/>
        <v>6721.72700281919</v>
      </c>
      <c r="I62" s="7"/>
      <c r="J62" s="7"/>
      <c r="K62" s="7"/>
      <c r="L62" s="7"/>
      <c r="M62" s="7"/>
      <c r="O62" s="7"/>
      <c r="P62" s="7"/>
    </row>
    <row r="63" spans="1:16">
      <c r="A63" s="15">
        <v>25</v>
      </c>
      <c r="B63" s="16">
        <f ca="1" t="shared" si="4"/>
        <v>46753</v>
      </c>
      <c r="C63" s="7">
        <f ca="1" t="shared" si="5"/>
        <v>6721.72700281919</v>
      </c>
      <c r="D63" s="7">
        <f ca="1" t="shared" si="0"/>
        <v>240.851057237991</v>
      </c>
      <c r="E63" s="7">
        <f ca="1" t="shared" si="1"/>
        <v>699</v>
      </c>
      <c r="F63" s="7">
        <f ca="1" t="shared" si="2"/>
        <v>458.148942762009</v>
      </c>
      <c r="G63" s="7">
        <f ca="1" t="shared" si="3"/>
        <v>6263.57806005718</v>
      </c>
      <c r="I63" s="7"/>
      <c r="J63" s="7"/>
      <c r="K63" s="7"/>
      <c r="L63" s="7"/>
      <c r="M63" s="7"/>
      <c r="O63" s="7"/>
      <c r="P63" s="7"/>
    </row>
    <row r="64" spans="1:16">
      <c r="A64" s="15">
        <v>26</v>
      </c>
      <c r="B64" s="16">
        <f ca="1" t="shared" si="4"/>
        <v>46784</v>
      </c>
      <c r="C64" s="7">
        <f ca="1" t="shared" si="5"/>
        <v>6263.57806005718</v>
      </c>
      <c r="D64" s="7">
        <f ca="1" t="shared" si="0"/>
        <v>224.434791419636</v>
      </c>
      <c r="E64" s="7">
        <f ca="1" t="shared" si="1"/>
        <v>699</v>
      </c>
      <c r="F64" s="7">
        <f ca="1" t="shared" si="2"/>
        <v>474.565208580364</v>
      </c>
      <c r="G64" s="7">
        <f ca="1" t="shared" si="3"/>
        <v>5789.01285147682</v>
      </c>
      <c r="I64" s="7"/>
      <c r="J64" s="7"/>
      <c r="K64" s="7"/>
      <c r="L64" s="7"/>
      <c r="M64" s="7"/>
      <c r="O64" s="7"/>
      <c r="P64" s="7"/>
    </row>
    <row r="65" spans="1:16">
      <c r="A65" s="15">
        <v>27</v>
      </c>
      <c r="B65" s="16">
        <f ca="1" t="shared" si="4"/>
        <v>46813</v>
      </c>
      <c r="C65" s="7">
        <f ca="1" t="shared" si="5"/>
        <v>5789.01285147682</v>
      </c>
      <c r="D65" s="7">
        <f ca="1" t="shared" si="0"/>
        <v>207.430302518642</v>
      </c>
      <c r="E65" s="7">
        <f ca="1" t="shared" si="1"/>
        <v>699</v>
      </c>
      <c r="F65" s="7">
        <f ca="1" t="shared" si="2"/>
        <v>491.569697481358</v>
      </c>
      <c r="G65" s="7">
        <f ca="1" t="shared" si="3"/>
        <v>5297.44315399546</v>
      </c>
      <c r="I65" s="7"/>
      <c r="J65" s="7"/>
      <c r="K65" s="7"/>
      <c r="L65" s="7"/>
      <c r="M65" s="7"/>
      <c r="O65" s="7"/>
      <c r="P65" s="7"/>
    </row>
    <row r="66" spans="1:16">
      <c r="A66" s="15">
        <v>28</v>
      </c>
      <c r="B66" s="16">
        <f ca="1" t="shared" si="4"/>
        <v>46844</v>
      </c>
      <c r="C66" s="7">
        <f ca="1" t="shared" si="5"/>
        <v>5297.44315399546</v>
      </c>
      <c r="D66" s="7">
        <f ca="1" t="shared" si="0"/>
        <v>189.816513488697</v>
      </c>
      <c r="E66" s="7">
        <f ca="1" t="shared" si="1"/>
        <v>699</v>
      </c>
      <c r="F66" s="7">
        <f ca="1" t="shared" si="2"/>
        <v>509.183486511303</v>
      </c>
      <c r="G66" s="7">
        <f ca="1" t="shared" si="3"/>
        <v>4788.25966748416</v>
      </c>
      <c r="I66" s="7"/>
      <c r="J66" s="7"/>
      <c r="K66" s="7"/>
      <c r="L66" s="7"/>
      <c r="M66" s="7"/>
      <c r="O66" s="7"/>
      <c r="P66" s="7"/>
    </row>
    <row r="67" spans="1:16">
      <c r="A67" s="15">
        <v>29</v>
      </c>
      <c r="B67" s="16">
        <f ca="1" t="shared" si="4"/>
        <v>46874</v>
      </c>
      <c r="C67" s="7">
        <f ca="1" t="shared" si="5"/>
        <v>4788.25966748416</v>
      </c>
      <c r="D67" s="7">
        <f ca="1" t="shared" si="0"/>
        <v>171.57159205661</v>
      </c>
      <c r="E67" s="7">
        <f ca="1" t="shared" si="1"/>
        <v>699</v>
      </c>
      <c r="F67" s="7">
        <f ca="1" t="shared" si="2"/>
        <v>527.428407943391</v>
      </c>
      <c r="G67" s="7">
        <f ca="1" t="shared" si="3"/>
        <v>4260.83125954077</v>
      </c>
      <c r="I67" s="7"/>
      <c r="J67" s="7"/>
      <c r="K67" s="7"/>
      <c r="L67" s="7"/>
      <c r="M67" s="7"/>
      <c r="O67" s="7"/>
      <c r="P67" s="7"/>
    </row>
    <row r="68" spans="1:16">
      <c r="A68" s="15">
        <v>30</v>
      </c>
      <c r="B68" s="16">
        <f ca="1" t="shared" si="4"/>
        <v>46905</v>
      </c>
      <c r="C68" s="7">
        <f ca="1" t="shared" si="5"/>
        <v>4260.83125954077</v>
      </c>
      <c r="D68" s="7">
        <f ca="1" t="shared" si="0"/>
        <v>152.672923661235</v>
      </c>
      <c r="E68" s="7">
        <f ca="1" t="shared" si="1"/>
        <v>699</v>
      </c>
      <c r="F68" s="7">
        <f ca="1" t="shared" si="2"/>
        <v>546.327076338765</v>
      </c>
      <c r="G68" s="7">
        <f ca="1" t="shared" si="3"/>
        <v>3714.504183202</v>
      </c>
      <c r="I68" s="7"/>
      <c r="J68" s="7"/>
      <c r="K68" s="7"/>
      <c r="L68" s="7"/>
      <c r="M68" s="7"/>
      <c r="O68" s="7"/>
      <c r="P68" s="7"/>
    </row>
    <row r="69" spans="1:16">
      <c r="A69" s="15">
        <v>31</v>
      </c>
      <c r="B69" s="16">
        <f ca="1" t="shared" si="4"/>
        <v>46935</v>
      </c>
      <c r="C69" s="7">
        <f ca="1" t="shared" si="5"/>
        <v>3714.504183202</v>
      </c>
      <c r="D69" s="7">
        <f ca="1" t="shared" si="0"/>
        <v>133.097083422745</v>
      </c>
      <c r="E69" s="7">
        <f ca="1" t="shared" si="1"/>
        <v>699</v>
      </c>
      <c r="F69" s="7">
        <f ca="1" t="shared" si="2"/>
        <v>565.902916577255</v>
      </c>
      <c r="G69" s="7">
        <f ca="1" t="shared" si="3"/>
        <v>3148.60126662475</v>
      </c>
      <c r="I69" s="7"/>
      <c r="J69" s="7"/>
      <c r="K69" s="7"/>
      <c r="L69" s="7"/>
      <c r="M69" s="7"/>
      <c r="O69" s="7"/>
      <c r="P69" s="7"/>
    </row>
    <row r="70" spans="1:16">
      <c r="A70" s="15">
        <v>32</v>
      </c>
      <c r="B70" s="16">
        <f ca="1" t="shared" si="4"/>
        <v>46966</v>
      </c>
      <c r="C70" s="7">
        <f ca="1" t="shared" si="5"/>
        <v>3148.60126662475</v>
      </c>
      <c r="D70" s="7">
        <f ca="1" t="shared" si="0"/>
        <v>112.819807107517</v>
      </c>
      <c r="E70" s="7">
        <f ca="1" t="shared" si="1"/>
        <v>699</v>
      </c>
      <c r="F70" s="7">
        <f ca="1" t="shared" si="2"/>
        <v>586.180192892483</v>
      </c>
      <c r="G70" s="7">
        <f ca="1" t="shared" si="3"/>
        <v>2562.42107373226</v>
      </c>
      <c r="I70" s="7"/>
      <c r="J70" s="7"/>
      <c r="K70" s="7"/>
      <c r="L70" s="7"/>
      <c r="M70" s="7"/>
      <c r="O70" s="7"/>
      <c r="P70" s="7"/>
    </row>
    <row r="71" spans="1:16">
      <c r="A71" s="15">
        <v>33</v>
      </c>
      <c r="B71" s="16">
        <f ca="1" t="shared" si="4"/>
        <v>46997</v>
      </c>
      <c r="C71" s="7">
        <f ca="1" t="shared" si="5"/>
        <v>2562.42107373226</v>
      </c>
      <c r="D71" s="7">
        <f ca="1" t="shared" si="0"/>
        <v>91.8159610526397</v>
      </c>
      <c r="E71" s="7">
        <f ca="1" t="shared" si="1"/>
        <v>699</v>
      </c>
      <c r="F71" s="7">
        <f ca="1" t="shared" si="2"/>
        <v>607.18403894736</v>
      </c>
      <c r="G71" s="7">
        <f ca="1" t="shared" si="3"/>
        <v>1955.2370347849</v>
      </c>
      <c r="I71" s="7"/>
      <c r="J71" s="7"/>
      <c r="K71" s="7"/>
      <c r="L71" s="7"/>
      <c r="M71" s="7"/>
      <c r="O71" s="7"/>
      <c r="P71" s="7"/>
    </row>
    <row r="72" spans="1:16">
      <c r="A72" s="15">
        <v>34</v>
      </c>
      <c r="B72" s="16">
        <f ca="1" t="shared" si="4"/>
        <v>47027</v>
      </c>
      <c r="C72" s="7">
        <f ca="1" t="shared" si="5"/>
        <v>1955.2370347849</v>
      </c>
      <c r="D72" s="7">
        <f ca="1" t="shared" si="0"/>
        <v>70.0595110127661</v>
      </c>
      <c r="E72" s="7">
        <f ca="1" t="shared" si="1"/>
        <v>699</v>
      </c>
      <c r="F72" s="7">
        <f ca="1" t="shared" si="2"/>
        <v>628.940488987234</v>
      </c>
      <c r="G72" s="7">
        <f ca="1" t="shared" si="3"/>
        <v>1326.29654579767</v>
      </c>
      <c r="I72" s="7"/>
      <c r="J72" s="7"/>
      <c r="K72" s="7"/>
      <c r="L72" s="7"/>
      <c r="M72" s="7"/>
      <c r="O72" s="7"/>
      <c r="P72" s="7"/>
    </row>
    <row r="73" spans="1:16">
      <c r="A73" s="15">
        <v>35</v>
      </c>
      <c r="B73" s="16">
        <f ca="1" t="shared" si="4"/>
        <v>47058</v>
      </c>
      <c r="C73" s="7">
        <f ca="1" t="shared" si="5"/>
        <v>1326.29654579767</v>
      </c>
      <c r="D73" s="7">
        <f ca="1" t="shared" si="0"/>
        <v>47.5234898906912</v>
      </c>
      <c r="E73" s="7">
        <f ca="1" t="shared" si="1"/>
        <v>699</v>
      </c>
      <c r="F73" s="7">
        <f ca="1" t="shared" si="2"/>
        <v>651.476510109309</v>
      </c>
      <c r="G73" s="7">
        <f ca="1" t="shared" si="3"/>
        <v>674.820035688359</v>
      </c>
      <c r="I73" s="7"/>
      <c r="J73" s="7"/>
      <c r="K73" s="7"/>
      <c r="L73" s="7"/>
      <c r="M73" s="7"/>
      <c r="O73" s="7"/>
      <c r="P73" s="7"/>
    </row>
    <row r="74" spans="1:16">
      <c r="A74" s="15">
        <v>36</v>
      </c>
      <c r="B74" s="16">
        <f ca="1" t="shared" si="4"/>
        <v>47088</v>
      </c>
      <c r="C74" s="7">
        <f ca="1" t="shared" si="5"/>
        <v>674.820035688359</v>
      </c>
      <c r="D74" s="7">
        <f ca="1" t="shared" si="0"/>
        <v>24.1799643116646</v>
      </c>
      <c r="E74" s="7">
        <f ca="1" t="shared" si="1"/>
        <v>699</v>
      </c>
      <c r="F74" s="7">
        <f ca="1" t="shared" si="2"/>
        <v>674.820035688335</v>
      </c>
      <c r="G74" s="7">
        <f ca="1" t="shared" si="3"/>
        <v>2.34194885706529e-11</v>
      </c>
      <c r="I74" s="7"/>
      <c r="J74" s="7"/>
      <c r="K74" s="7"/>
      <c r="L74" s="7"/>
      <c r="M74" s="7"/>
      <c r="O74" s="7"/>
      <c r="P74" s="7"/>
    </row>
    <row r="75" spans="1:16">
      <c r="A75" s="15"/>
      <c r="B75" s="16"/>
      <c r="C75" s="7"/>
      <c r="D75" s="7"/>
      <c r="E75" s="7"/>
      <c r="F75" s="7"/>
      <c r="G75" s="7"/>
      <c r="I75" s="7"/>
      <c r="J75" s="7"/>
      <c r="K75" s="7"/>
    </row>
    <row r="76" spans="1:16">
      <c r="A76" s="2" t="s">
        <v>146</v>
      </c>
      <c r="B76" s="16"/>
      <c r="D76" s="2" t="s">
        <v>147</v>
      </c>
      <c r="E76" s="7">
        <f ca="1">SUM(D39:D74)</f>
        <v>11149</v>
      </c>
      <c r="J76" s="2"/>
      <c r="K76" s="7"/>
    </row>
    <row r="77" spans="1:16">
      <c r="D77" s="2" t="s">
        <v>148</v>
      </c>
      <c r="E77" s="7">
        <f ca="1">SUM(E39:E74)</f>
        <v>25164</v>
      </c>
      <c r="J77" s="2"/>
      <c r="K77" s="7"/>
    </row>
  </sheetData>
  <mergeCells count="1">
    <mergeCell ref="A1:F1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0FE1F59-AF04-4FFE-BEE4-F649A568334E}">
  <ds:schemaRefs/>
</ds:datastoreItem>
</file>

<file path=customXml/itemProps2.xml><?xml version="1.0" encoding="utf-8"?>
<ds:datastoreItem xmlns:ds="http://schemas.openxmlformats.org/officeDocument/2006/customXml" ds:itemID="{58312CBD-D9C9-49CD-B597-FFC3C2904662}">
  <ds:schemaRefs/>
</ds:datastoreItem>
</file>

<file path=customXml/itemProps3.xml><?xml version="1.0" encoding="utf-8"?>
<ds:datastoreItem xmlns:ds="http://schemas.openxmlformats.org/officeDocument/2006/customXml" ds:itemID="{F0309C6A-130E-4B21-B820-1286FC3FCB0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To request</vt:lpstr>
      <vt:lpstr>price list</vt:lpstr>
      <vt:lpstr>List of customer</vt:lpstr>
      <vt:lpstr>SO25-0001</vt:lpstr>
      <vt:lpstr>SO25-0006</vt:lpstr>
      <vt:lpstr>SO25-0135</vt:lpstr>
      <vt:lpstr>SO25-0138</vt:lpstr>
      <vt:lpstr>SO25-0172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Sze Hui Sylvia | Ecovis KL Audit</dc:creator>
  <cp:lastModifiedBy>ASUS</cp:lastModifiedBy>
  <dcterms:created xsi:type="dcterms:W3CDTF">2026-01-03T10:46:00Z</dcterms:created>
  <dcterms:modified xsi:type="dcterms:W3CDTF">2026-09-02T03:42:46Z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0x010100FF2DA9D03566D346A3693AC2806A3E6B</vt:lpwstr>
  </property>
  <property fmtid="{D5CDD505-2E9C-101B-9397-08002B2CF9AE}" pid="4" name="ICV">
    <vt:lpwstr>C31121AE186A4CF1A827E7C9BBA791C5_12</vt:lpwstr>
  </property>
  <property fmtid="{D5CDD505-2E9C-101B-9397-08002B2CF9AE}" pid="5" name="KSOProductBuildVer">
    <vt:lpwstr>1033-12.1.0.28032</vt:lpwstr>
  </property>
  <property fmtid="{D5CDD505-2E9C-101B-9397-08002B2CF9AE}" pid="6" name="CalculationRule">
    <vt:i4>0</vt:i4>
  </property>
</Properties>
</file>